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<sst xmlns="http://schemas.openxmlformats.org/spreadsheetml/2006/main" count="228" uniqueCount="60">
  <si>
    <t>Feed forward and Bakcpropogation</t>
  </si>
  <si>
    <t>Feed forward and pretraining backpropagation</t>
  </si>
  <si>
    <t>text</t>
  </si>
  <si>
    <t>the</t>
  </si>
  <si>
    <t>brown</t>
  </si>
  <si>
    <t>dog</t>
  </si>
  <si>
    <t>jumped</t>
  </si>
  <si>
    <t>over</t>
  </si>
  <si>
    <t>lazy</t>
  </si>
  <si>
    <t>tokenized</t>
  </si>
  <si>
    <t>⬇</t>
  </si>
  <si>
    <t>Transformer</t>
  </si>
  <si>
    <t>probabilities</t>
  </si>
  <si>
    <t>decoded</t>
  </si>
  <si>
    <t>fox</t>
  </si>
  <si>
    <t>Expected probability for "fox"</t>
  </si>
  <si>
    <t>actual transformer output for "fox"</t>
  </si>
  <si>
    <t>Loss (includes expected - actual)</t>
  </si>
  <si>
    <t xml:space="preserve">RL: change the loss function </t>
  </si>
  <si>
    <t>Correct answer ✅</t>
  </si>
  <si>
    <t>Wrong answer ❌</t>
  </si>
  <si>
    <t>hello</t>
  </si>
  <si>
    <t>world</t>
  </si>
  <si>
    <t>!</t>
  </si>
  <si>
    <t>RL Loss Function</t>
  </si>
  <si>
    <t>SimPO - formulas (formal and human readable)</t>
  </si>
  <si>
    <t>Formal</t>
  </si>
  <si>
    <t>Human</t>
  </si>
  <si>
    <t>readable</t>
  </si>
  <si>
    <t xml:space="preserve">where sigmoid is the sigmoid activation function we've seen earlier </t>
  </si>
  <si>
    <t>where gamma and beta are hyperparameters (read: constants)</t>
  </si>
  <si>
    <t xml:space="preserve">SimPO - Preference Pairs </t>
  </si>
  <si>
    <t>Prompt ❓</t>
  </si>
  <si>
    <t xml:space="preserve">"What is 15% of 240?" </t>
  </si>
  <si>
    <t>Chosen ✅</t>
  </si>
  <si>
    <t xml:space="preserve">"0.15 * 240 = 36" </t>
  </si>
  <si>
    <t>Rejected ❌</t>
  </si>
  <si>
    <t xml:space="preserve">"240 / 15 = 16" </t>
  </si>
  <si>
    <t>Chosen pair</t>
  </si>
  <si>
    <t>"What is 15% of 240? 0.15 * 240 = 36”</t>
  </si>
  <si>
    <t>rejected pair</t>
  </si>
  <si>
    <t>“What is 15% of 240? 240 / 15 = 16”</t>
  </si>
  <si>
    <t>SimPO - Inference</t>
  </si>
  <si>
    <t>tokens</t>
  </si>
  <si>
    <t>probalities</t>
  </si>
  <si>
    <t xml:space="preserve">SimPO - reward </t>
  </si>
  <si>
    <t>chosen</t>
  </si>
  <si>
    <t>rejected</t>
  </si>
  <si>
    <t>chosen reward</t>
  </si>
  <si>
    <t>AVERAGE(LN(C101:I101))</t>
  </si>
  <si>
    <t>rejected reward</t>
  </si>
  <si>
    <t>AVERAGE(LN(L101:R101))</t>
  </si>
  <si>
    <t>SimPO - loss</t>
  </si>
  <si>
    <t>beta</t>
  </si>
  <si>
    <t>gamma</t>
  </si>
  <si>
    <t>reward margin</t>
  </si>
  <si>
    <t>[FILL]</t>
  </si>
  <si>
    <t>sigmoid (reward margin)</t>
  </si>
  <si>
    <t>loss</t>
  </si>
  <si>
    <t>-LN(E120)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</si>
</sst>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2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B7B7B7"/>
      <name val="Arial"/>
    </font>
    <font>
      <color theme="1"/>
      <name val="Arial"/>
    </font>
    <font>
      <sz val="16.0"/>
      <color theme="1"/>
      <name val="Arial"/>
      <scheme val="minor"/>
    </font>
    <font/>
    <font>
      <sz val="13.0"/>
      <color rgb="FF999999"/>
      <name val="Arial"/>
      <scheme val="minor"/>
    </font>
    <font>
      <sz val="12.0"/>
      <color rgb="FF999999"/>
      <name val="Arial"/>
      <scheme val="minor"/>
    </font>
    <font>
      <sz val="14.0"/>
      <color rgb="FF999999"/>
      <name val="Arial"/>
      <scheme val="minor"/>
    </font>
    <font>
      <sz val="2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2" numFmtId="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bottom"/>
    </xf>
    <xf borderId="0" fillId="2" fontId="4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horizontal="right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2" numFmtId="2" xfId="0" applyAlignment="1" applyFont="1" applyNumberFormat="1">
      <alignment horizontal="left" readingOrder="0"/>
    </xf>
    <xf borderId="9" fillId="0" fontId="2" numFmtId="0" xfId="0" applyAlignment="1" applyBorder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2" xfId="0" applyAlignment="1" applyFont="1" applyNumberFormat="1">
      <alignment horizontal="left" readingOrder="0"/>
    </xf>
    <xf borderId="0" fillId="0" fontId="1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8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40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31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122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85725</xdr:colOff>
      <xdr:row>48</xdr:row>
      <xdr:rowOff>171450</xdr:rowOff>
    </xdr:from>
    <xdr:ext cx="7248525" cy="9334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59</xdr:row>
      <xdr:rowOff>47625</xdr:rowOff>
    </xdr:from>
    <xdr:ext cx="7019925" cy="619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54</xdr:row>
      <xdr:rowOff>200025</xdr:rowOff>
    </xdr:from>
    <xdr:ext cx="4572000" cy="4857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64</xdr:row>
      <xdr:rowOff>142875</xdr:rowOff>
    </xdr:from>
    <xdr:ext cx="5305425" cy="10572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92</xdr:row>
      <xdr:rowOff>47625</xdr:rowOff>
    </xdr:from>
    <xdr:ext cx="6400800" cy="13049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107</xdr:row>
      <xdr:rowOff>66675</xdr:rowOff>
    </xdr:from>
    <xdr:ext cx="7496175" cy="10572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8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40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31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122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85725</xdr:colOff>
      <xdr:row>48</xdr:row>
      <xdr:rowOff>171450</xdr:rowOff>
    </xdr:from>
    <xdr:ext cx="7248525" cy="9334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59</xdr:row>
      <xdr:rowOff>47625</xdr:rowOff>
    </xdr:from>
    <xdr:ext cx="7019925" cy="619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54</xdr:row>
      <xdr:rowOff>200025</xdr:rowOff>
    </xdr:from>
    <xdr:ext cx="4572000" cy="4857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64</xdr:row>
      <xdr:rowOff>142875</xdr:rowOff>
    </xdr:from>
    <xdr:ext cx="5305425" cy="10572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92</xdr:row>
      <xdr:rowOff>47625</xdr:rowOff>
    </xdr:from>
    <xdr:ext cx="6400800" cy="13049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107</xdr:row>
      <xdr:rowOff>66675</xdr:rowOff>
    </xdr:from>
    <xdr:ext cx="7496175" cy="10572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5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3</v>
      </c>
      <c r="I5" s="6" t="s">
        <v>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7" t="s">
        <v>9</v>
      </c>
      <c r="C7" s="8">
        <f t="shared" ref="C7:I7" si="1">RAND()* 100</f>
        <v>80.51222922</v>
      </c>
      <c r="D7" s="8">
        <f t="shared" si="1"/>
        <v>10.37019158</v>
      </c>
      <c r="E7" s="8">
        <f t="shared" si="1"/>
        <v>34.67811659</v>
      </c>
      <c r="F7" s="8">
        <f t="shared" si="1"/>
        <v>78.00037285</v>
      </c>
      <c r="G7" s="8">
        <f t="shared" si="1"/>
        <v>95.08868503</v>
      </c>
      <c r="H7" s="8">
        <f t="shared" si="1"/>
        <v>52.54988884</v>
      </c>
      <c r="I7" s="8">
        <f t="shared" si="1"/>
        <v>93.31474519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9" t="s">
        <v>10</v>
      </c>
      <c r="F9" s="2"/>
      <c r="G9" s="2"/>
      <c r="H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0" t="s">
        <v>11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3"/>
      <c r="F11" s="14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15"/>
      <c r="E12" s="16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1"/>
      <c r="C14" s="2"/>
      <c r="D14" s="2"/>
      <c r="E14" s="9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9</v>
      </c>
      <c r="C15" s="2"/>
      <c r="D15" s="8">
        <f t="array" ref="D15:I15">D7:I7</f>
        <v>10.37019158</v>
      </c>
      <c r="E15" s="8">
        <v>34.67811659297215</v>
      </c>
      <c r="F15" s="8">
        <v>78.00037284918399</v>
      </c>
      <c r="G15" s="8">
        <v>95.08868502854975</v>
      </c>
      <c r="H15" s="8">
        <v>52.54988883602131</v>
      </c>
      <c r="I15" s="8">
        <v>93.31474519213052</v>
      </c>
      <c r="J15" s="18">
        <f>RAND()* 100</f>
        <v>21.58272787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 t="s">
        <v>12</v>
      </c>
      <c r="C16" s="2"/>
      <c r="D16" s="19">
        <f t="shared" ref="D16:J16" si="2">rand()</f>
        <v>0.1209225306</v>
      </c>
      <c r="E16" s="19">
        <f t="shared" si="2"/>
        <v>0.9118458342</v>
      </c>
      <c r="F16" s="19">
        <f t="shared" si="2"/>
        <v>0.1741257434</v>
      </c>
      <c r="G16" s="19">
        <f t="shared" si="2"/>
        <v>0.3804916679</v>
      </c>
      <c r="H16" s="19">
        <f t="shared" si="2"/>
        <v>0.4104669851</v>
      </c>
      <c r="I16" s="19">
        <f t="shared" si="2"/>
        <v>0.04799852633</v>
      </c>
      <c r="J16" s="19">
        <f t="shared" si="2"/>
        <v>0.7078090521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/>
      <c r="C17" s="2"/>
      <c r="D17" s="2"/>
      <c r="E17" s="2"/>
      <c r="F17" s="2"/>
      <c r="G17" s="2"/>
      <c r="H17" s="2"/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7" t="s">
        <v>13</v>
      </c>
      <c r="C18" s="2"/>
      <c r="D18" s="2" t="str">
        <f t="array" ref="D18:I18">D5:I5</f>
        <v>brown</v>
      </c>
      <c r="E18" s="2" t="s">
        <v>5</v>
      </c>
      <c r="F18" s="2" t="s">
        <v>6</v>
      </c>
      <c r="G18" s="2" t="s">
        <v>7</v>
      </c>
      <c r="H18" s="2" t="s">
        <v>3</v>
      </c>
      <c r="I18" s="2" t="s">
        <v>8</v>
      </c>
      <c r="J18" s="20" t="s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7" t="s">
        <v>15</v>
      </c>
      <c r="I20" s="9">
        <v>0.8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21">
        <f>J16</f>
        <v>0.7078090521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7" t="s">
        <v>17</v>
      </c>
      <c r="I22" s="19">
        <f>RAND()</f>
        <v>0.9781786464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18</v>
      </c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 t="s">
        <v>19</v>
      </c>
      <c r="E26" s="23"/>
      <c r="F26" s="23"/>
      <c r="G26" s="24" t="s">
        <v>20</v>
      </c>
      <c r="K26" s="23"/>
      <c r="L26" s="23"/>
      <c r="M26" s="24" t="s">
        <v>20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4" t="s">
        <v>2</v>
      </c>
      <c r="C28" s="5" t="s">
        <v>3</v>
      </c>
      <c r="D28" s="6" t="s">
        <v>4</v>
      </c>
      <c r="E28" s="6"/>
      <c r="F28" s="6"/>
      <c r="G28" s="6"/>
      <c r="H28" s="4" t="s">
        <v>2</v>
      </c>
      <c r="I28" s="5" t="s">
        <v>3</v>
      </c>
      <c r="J28" s="6" t="s">
        <v>4</v>
      </c>
      <c r="K28" s="2"/>
      <c r="L28" s="2"/>
      <c r="M28" s="2"/>
      <c r="N28" s="4" t="s">
        <v>2</v>
      </c>
      <c r="O28" s="25" t="s">
        <v>21</v>
      </c>
      <c r="P28" s="25" t="s">
        <v>22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 t="s">
        <v>9</v>
      </c>
      <c r="C30" s="8">
        <f t="shared" ref="C30:D30" si="3">RAND()* 100</f>
        <v>10.529284</v>
      </c>
      <c r="D30" s="8">
        <f t="shared" si="3"/>
        <v>12.66542678</v>
      </c>
      <c r="E30" s="8"/>
      <c r="F30" s="8"/>
      <c r="G30" s="8"/>
      <c r="H30" s="7" t="s">
        <v>9</v>
      </c>
      <c r="I30" s="8">
        <f t="shared" ref="I30:J30" si="4">C30</f>
        <v>10.529284</v>
      </c>
      <c r="J30" s="8">
        <f t="shared" si="4"/>
        <v>12.66542678</v>
      </c>
      <c r="K30" s="2"/>
      <c r="L30" s="2"/>
      <c r="M30" s="2"/>
      <c r="N30" s="7" t="s">
        <v>9</v>
      </c>
      <c r="O30" s="8">
        <f t="shared" ref="O30:P30" si="5">RAND()* 100</f>
        <v>47.91450067</v>
      </c>
      <c r="P30" s="8">
        <f t="shared" si="5"/>
        <v>87.11292319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10</v>
      </c>
      <c r="F31" s="2"/>
      <c r="G31" s="2"/>
      <c r="H31" s="1"/>
      <c r="I31" s="2"/>
      <c r="J31" s="9" t="s">
        <v>10</v>
      </c>
      <c r="K31" s="2"/>
      <c r="L31" s="2"/>
      <c r="M31" s="2"/>
      <c r="N31" s="1"/>
      <c r="O31" s="2"/>
      <c r="P31" s="9" t="s">
        <v>10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9" t="s">
        <v>10</v>
      </c>
      <c r="F32" s="2"/>
      <c r="G32" s="2"/>
      <c r="H32" s="1"/>
      <c r="I32" s="2"/>
      <c r="J32" s="9" t="s">
        <v>10</v>
      </c>
      <c r="K32" s="2"/>
      <c r="L32" s="2"/>
      <c r="M32" s="2"/>
      <c r="N32" s="1"/>
      <c r="O32" s="2"/>
      <c r="P32" s="9" t="s">
        <v>10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6" t="s">
        <v>11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3"/>
      <c r="Q34" s="14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10</v>
      </c>
      <c r="F36" s="2"/>
      <c r="G36" s="2"/>
      <c r="H36" s="2"/>
      <c r="I36" s="2"/>
      <c r="J36" s="2"/>
      <c r="K36" s="9" t="s">
        <v>10</v>
      </c>
      <c r="L36" s="2"/>
      <c r="M36" s="2"/>
      <c r="N36" s="2"/>
      <c r="O36" s="2"/>
      <c r="P36" s="2"/>
      <c r="Q36" s="9" t="s">
        <v>10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2"/>
      <c r="D37" s="2"/>
      <c r="E37" s="9" t="s">
        <v>10</v>
      </c>
      <c r="F37" s="2"/>
      <c r="G37" s="2"/>
      <c r="H37" s="2"/>
      <c r="I37" s="2"/>
      <c r="J37" s="2"/>
      <c r="K37" s="9" t="s">
        <v>10</v>
      </c>
      <c r="L37" s="2"/>
      <c r="M37" s="2"/>
      <c r="N37" s="2"/>
      <c r="O37" s="2"/>
      <c r="P37" s="2"/>
      <c r="Q37" s="9" t="s">
        <v>10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9</v>
      </c>
      <c r="D38" s="8">
        <f>D30</f>
        <v>12.66542678</v>
      </c>
      <c r="E38" s="18">
        <f>RAND()* 100</f>
        <v>36.74850903</v>
      </c>
      <c r="F38" s="2"/>
      <c r="G38" s="2"/>
      <c r="H38" s="2"/>
      <c r="I38" s="7" t="s">
        <v>9</v>
      </c>
      <c r="J38" s="8">
        <f>J30</f>
        <v>12.66542678</v>
      </c>
      <c r="K38" s="18">
        <f>RAND()* 100</f>
        <v>77.51261749</v>
      </c>
      <c r="L38" s="2"/>
      <c r="M38" s="2"/>
      <c r="N38" s="2"/>
      <c r="O38" s="7" t="s">
        <v>9</v>
      </c>
      <c r="P38" s="8">
        <f>P30</f>
        <v>87.11292319</v>
      </c>
      <c r="Q38" s="18">
        <f>RAND()* 100</f>
        <v>73.65625469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 t="s">
        <v>12</v>
      </c>
      <c r="D39" s="19">
        <f t="shared" ref="D39:E39" si="6">rand()</f>
        <v>0.82147866</v>
      </c>
      <c r="E39" s="19">
        <f t="shared" si="6"/>
        <v>0.6303089412</v>
      </c>
      <c r="F39" s="19"/>
      <c r="G39" s="19"/>
      <c r="H39" s="19"/>
      <c r="I39" s="7" t="s">
        <v>12</v>
      </c>
      <c r="J39" s="19">
        <f t="shared" ref="J39:K39" si="7">rand()</f>
        <v>0.8219956167</v>
      </c>
      <c r="K39" s="19">
        <f t="shared" si="7"/>
        <v>0.794614106</v>
      </c>
      <c r="L39" s="2"/>
      <c r="M39" s="2"/>
      <c r="N39" s="2"/>
      <c r="O39" s="7" t="s">
        <v>12</v>
      </c>
      <c r="P39" s="19">
        <f t="shared" ref="P39:Q39" si="8">rand()</f>
        <v>0.1185551248</v>
      </c>
      <c r="Q39" s="19">
        <f t="shared" si="8"/>
        <v>0.6918699737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C40" s="7"/>
      <c r="D40" s="2"/>
      <c r="E40" s="6"/>
      <c r="F40" s="2"/>
      <c r="G40" s="2"/>
      <c r="H40" s="2"/>
      <c r="I40" s="7"/>
      <c r="J40" s="2"/>
      <c r="K40" s="6"/>
      <c r="L40" s="2"/>
      <c r="M40" s="2"/>
      <c r="N40" s="2"/>
      <c r="O40" s="7"/>
      <c r="P40" s="2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C41" s="7" t="s">
        <v>13</v>
      </c>
      <c r="D41" s="2" t="str">
        <f>D28</f>
        <v>brown</v>
      </c>
      <c r="E41" s="27" t="s">
        <v>5</v>
      </c>
      <c r="F41" s="2"/>
      <c r="G41" s="2"/>
      <c r="H41" s="2"/>
      <c r="I41" s="7" t="s">
        <v>13</v>
      </c>
      <c r="J41" s="2" t="str">
        <f>J28</f>
        <v>brown</v>
      </c>
      <c r="K41" s="27" t="s">
        <v>14</v>
      </c>
      <c r="L41" s="2"/>
      <c r="M41" s="2"/>
      <c r="N41" s="2"/>
      <c r="O41" s="7" t="s">
        <v>13</v>
      </c>
      <c r="P41" s="2" t="str">
        <f>P28</f>
        <v>world</v>
      </c>
      <c r="Q41" s="27" t="s">
        <v>23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7" t="s">
        <v>24</v>
      </c>
      <c r="K46" s="19">
        <f>rand()</f>
        <v>0.09602187834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25</v>
      </c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7" t="s">
        <v>26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7" t="s">
        <v>27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7" t="s">
        <v>28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9" t="s">
        <v>29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9" t="s">
        <v>30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 t="s">
        <v>31</v>
      </c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2"/>
      <c r="F75" s="7" t="s">
        <v>32</v>
      </c>
      <c r="G75" s="29" t="s">
        <v>33</v>
      </c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7" t="s">
        <v>34</v>
      </c>
      <c r="D77" s="29" t="s">
        <v>35</v>
      </c>
      <c r="E77" s="2"/>
      <c r="F77" s="2"/>
      <c r="G77" s="2"/>
      <c r="H77" s="2"/>
      <c r="K77" s="2"/>
      <c r="L77" s="7" t="s">
        <v>36</v>
      </c>
      <c r="M77" s="30" t="s">
        <v>37</v>
      </c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7" t="s">
        <v>38</v>
      </c>
      <c r="D79" s="29" t="s">
        <v>39</v>
      </c>
      <c r="E79" s="2"/>
      <c r="F79" s="2"/>
      <c r="G79" s="2"/>
      <c r="H79" s="2"/>
      <c r="I79" s="2"/>
      <c r="J79" s="2"/>
      <c r="K79" s="2"/>
      <c r="L79" s="7" t="s">
        <v>40</v>
      </c>
      <c r="M79" s="29" t="s">
        <v>41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7"/>
      <c r="F80" s="2"/>
      <c r="G80" s="9" t="s">
        <v>10</v>
      </c>
      <c r="H80" s="2"/>
      <c r="I80" s="2"/>
      <c r="J80" s="2"/>
      <c r="K80" s="2"/>
      <c r="L80" s="2"/>
      <c r="M80" s="2"/>
      <c r="N80" s="9" t="s">
        <v>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 t="s">
        <v>42</v>
      </c>
    </row>
    <row r="82">
      <c r="B82" s="1"/>
      <c r="C82" s="2"/>
      <c r="D82" s="2"/>
      <c r="E82" s="2"/>
      <c r="F82" s="2"/>
      <c r="G82" s="9" t="s">
        <v>10</v>
      </c>
      <c r="H82" s="2"/>
      <c r="I82" s="2"/>
      <c r="J82" s="2"/>
      <c r="K82" s="2"/>
      <c r="L82" s="2"/>
      <c r="M82" s="2"/>
      <c r="N82" s="9" t="s">
        <v>10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6" t="s">
        <v>11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13"/>
      <c r="R84" s="14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9" t="s">
        <v>10</v>
      </c>
      <c r="H86" s="2"/>
      <c r="I86" s="2"/>
      <c r="J86" s="2"/>
      <c r="K86" s="2"/>
      <c r="L86" s="2"/>
      <c r="M86" s="2"/>
      <c r="O86" s="2"/>
      <c r="P86" s="9" t="s">
        <v>10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9" t="s">
        <v>10</v>
      </c>
      <c r="H87" s="2"/>
      <c r="I87" s="2"/>
      <c r="J87" s="2"/>
      <c r="K87" s="2"/>
      <c r="L87" s="2"/>
      <c r="M87" s="2"/>
      <c r="O87" s="2"/>
      <c r="P87" s="9" t="s">
        <v>10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7" t="s">
        <v>43</v>
      </c>
      <c r="C88" s="8">
        <f t="shared" ref="C88:I88" si="9">rand()*100</f>
        <v>84.91235672</v>
      </c>
      <c r="D88" s="8">
        <f t="shared" si="9"/>
        <v>12.98721482</v>
      </c>
      <c r="E88" s="8">
        <f t="shared" si="9"/>
        <v>87.94235256</v>
      </c>
      <c r="F88" s="8">
        <f t="shared" si="9"/>
        <v>3.411244594</v>
      </c>
      <c r="G88" s="8">
        <f t="shared" si="9"/>
        <v>83.12202512</v>
      </c>
      <c r="H88" s="8">
        <f t="shared" si="9"/>
        <v>5.144155174</v>
      </c>
      <c r="I88" s="8">
        <f t="shared" si="9"/>
        <v>54.5254279</v>
      </c>
      <c r="J88" s="2"/>
      <c r="K88" s="2"/>
      <c r="L88" s="8">
        <f t="array" ref="L88:O89">C88:F89</f>
        <v>84.91235672</v>
      </c>
      <c r="M88" s="8">
        <v>12.987214818241622</v>
      </c>
      <c r="N88" s="8">
        <v>87.9423525555304</v>
      </c>
      <c r="O88" s="8">
        <v>3.4112445942855008</v>
      </c>
      <c r="P88" s="8">
        <f t="shared" ref="P88:R88" si="10">rand()*100</f>
        <v>74.95510359</v>
      </c>
      <c r="Q88" s="8">
        <f t="shared" si="10"/>
        <v>2.140784649</v>
      </c>
      <c r="R88" s="8">
        <f t="shared" si="10"/>
        <v>65.58787385</v>
      </c>
      <c r="S88" s="2"/>
      <c r="T88" s="2"/>
      <c r="U88" s="2"/>
      <c r="V88" s="2"/>
      <c r="W88" s="2"/>
      <c r="X88" s="2"/>
      <c r="Y88" s="2"/>
      <c r="Z88" s="2"/>
    </row>
    <row r="89">
      <c r="B89" s="7" t="s">
        <v>44</v>
      </c>
      <c r="C89" s="31">
        <f t="shared" ref="C89:I89" si="11">rand()</f>
        <v>0.4666871656</v>
      </c>
      <c r="D89" s="31">
        <f t="shared" si="11"/>
        <v>0.122654536</v>
      </c>
      <c r="E89" s="31">
        <f t="shared" si="11"/>
        <v>0.9464116936</v>
      </c>
      <c r="F89" s="31">
        <f t="shared" si="11"/>
        <v>0.3331368131</v>
      </c>
      <c r="G89" s="31">
        <f t="shared" si="11"/>
        <v>0.6258366019</v>
      </c>
      <c r="H89" s="31">
        <f t="shared" si="11"/>
        <v>0.2481166098</v>
      </c>
      <c r="I89" s="31">
        <f t="shared" si="11"/>
        <v>0.2828789901</v>
      </c>
      <c r="J89" s="2"/>
      <c r="K89" s="2"/>
      <c r="L89" s="31">
        <v>0.4666871655809386</v>
      </c>
      <c r="M89" s="31">
        <v>0.12265453602603282</v>
      </c>
      <c r="N89" s="31">
        <v>0.9464116935581602</v>
      </c>
      <c r="O89" s="31">
        <v>0.3331368131228598</v>
      </c>
      <c r="P89" s="31">
        <f t="shared" ref="P89:R89" si="12">rand()</f>
        <v>0.4415356705</v>
      </c>
      <c r="Q89" s="31">
        <f t="shared" si="12"/>
        <v>0.5480770139</v>
      </c>
      <c r="R89" s="31">
        <f t="shared" si="12"/>
        <v>0.2952748833</v>
      </c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 t="s">
        <v>45</v>
      </c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32" t="s">
        <v>46</v>
      </c>
      <c r="C101" s="33">
        <f t="array" ref="C101:I101">C89:I89</f>
        <v>0.4666871656</v>
      </c>
      <c r="D101" s="33">
        <v>0.12265453602603282</v>
      </c>
      <c r="E101" s="33">
        <v>0.9464116935581602</v>
      </c>
      <c r="F101" s="33">
        <v>0.3331368131228598</v>
      </c>
      <c r="G101" s="33">
        <v>0.6258366019111584</v>
      </c>
      <c r="H101" s="33">
        <v>0.24811660982588557</v>
      </c>
      <c r="I101" s="33">
        <v>0.2828789900707628</v>
      </c>
      <c r="J101" s="34"/>
      <c r="K101" s="32" t="s">
        <v>47</v>
      </c>
      <c r="L101" s="33">
        <f t="array" ref="L101:R101">L89:R89</f>
        <v>0.4666871656</v>
      </c>
      <c r="M101" s="33">
        <v>0.12265453602603282</v>
      </c>
      <c r="N101" s="33">
        <v>0.9464116935581602</v>
      </c>
      <c r="O101" s="33">
        <v>0.3331368131228598</v>
      </c>
      <c r="P101" s="33">
        <v>0.4415356704905796</v>
      </c>
      <c r="Q101" s="33">
        <v>0.5480770138555346</v>
      </c>
      <c r="R101" s="33">
        <v>0.2952748833235429</v>
      </c>
      <c r="S101" s="2"/>
      <c r="T101" s="2"/>
      <c r="U101" s="2"/>
      <c r="V101" s="2"/>
      <c r="W101" s="2"/>
      <c r="X101" s="2"/>
      <c r="Y101" s="2"/>
      <c r="Z101" s="2"/>
    </row>
    <row r="102">
      <c r="B102" s="7" t="s">
        <v>12</v>
      </c>
      <c r="C102" s="7"/>
      <c r="D102" s="19"/>
      <c r="E102" s="2"/>
      <c r="F102" s="2"/>
      <c r="G102" s="2"/>
      <c r="H102" s="2"/>
      <c r="I102" s="2"/>
      <c r="J102" s="2"/>
      <c r="K102" s="7" t="s">
        <v>12</v>
      </c>
      <c r="L102" s="7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7"/>
      <c r="D103" s="19"/>
      <c r="E103" s="2"/>
      <c r="F103" s="2"/>
      <c r="G103" s="2"/>
      <c r="H103" s="2"/>
      <c r="I103" s="2"/>
      <c r="J103" s="2"/>
      <c r="L103" s="7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7" t="s">
        <v>48</v>
      </c>
      <c r="D104" s="19">
        <f>AVERAGE(LN(C101:I101))</f>
        <v>-2.098383525</v>
      </c>
      <c r="E104" s="2"/>
      <c r="F104" s="2"/>
      <c r="G104" s="2"/>
      <c r="H104" s="2"/>
      <c r="I104" s="2"/>
      <c r="J104" s="2"/>
      <c r="K104" s="7" t="s">
        <v>50</v>
      </c>
      <c r="L104" s="19">
        <f>AVERAGE(LN(L101:R101))</f>
        <v>-0.7620961268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 t="s">
        <v>52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7" t="s">
        <v>53</v>
      </c>
      <c r="E115" s="36">
        <v>2.0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7" t="s">
        <v>54</v>
      </c>
      <c r="E116" s="36">
        <v>0.5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7" t="s">
        <v>55</v>
      </c>
      <c r="E118" s="19">
        <f>E115*(D104-L104)-E116</f>
        <v>-3.172574797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7" t="s">
        <v>57</v>
      </c>
      <c r="E120" s="19">
        <f>1/(1+EXP(-E118))</f>
        <v>0.04021092595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3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7" t="s">
        <v>58</v>
      </c>
      <c r="E122" s="40">
        <f>-LN(E120)</f>
        <v>3.213616531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D129" s="10" t="s">
        <v>11</v>
      </c>
      <c r="E129" s="11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D130" s="13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D131" s="15"/>
      <c r="E131" s="16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</sheetData>
  <mergeCells count="14">
    <mergeCell ref="A48:Z48"/>
    <mergeCell ref="A72:Z72"/>
    <mergeCell ref="A81:Z81"/>
    <mergeCell ref="E83:R85"/>
    <mergeCell ref="A91:Z91"/>
    <mergeCell ref="A106:Z106"/>
    <mergeCell ref="D129:F131"/>
    <mergeCell ref="A2:Z2"/>
    <mergeCell ref="D10:F12"/>
    <mergeCell ref="A24:Z24"/>
    <mergeCell ref="A26:D26"/>
    <mergeCell ref="G26:J26"/>
    <mergeCell ref="M26:P26"/>
    <mergeCell ref="D33:Q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2</v>
      </c>
      <c r="C5" s="5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3</v>
      </c>
      <c r="I5" s="6" t="s">
        <v>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7" t="s">
        <v>9</v>
      </c>
      <c r="C7" s="8">
        <f t="shared" ref="C7:I7" si="1">RAND()* 100</f>
        <v>23.55000849</v>
      </c>
      <c r="D7" s="8">
        <f t="shared" si="1"/>
        <v>85.17747147</v>
      </c>
      <c r="E7" s="8">
        <f t="shared" si="1"/>
        <v>19.26832614</v>
      </c>
      <c r="F7" s="8">
        <f t="shared" si="1"/>
        <v>15.98213179</v>
      </c>
      <c r="G7" s="8">
        <f t="shared" si="1"/>
        <v>0.4904012712</v>
      </c>
      <c r="H7" s="8">
        <f t="shared" si="1"/>
        <v>48.04692109</v>
      </c>
      <c r="I7" s="8">
        <f t="shared" si="1"/>
        <v>52.9729266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9" t="s">
        <v>10</v>
      </c>
      <c r="F9" s="2"/>
      <c r="G9" s="2"/>
      <c r="H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0" t="s">
        <v>11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3"/>
      <c r="F11" s="14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15"/>
      <c r="E12" s="16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1"/>
      <c r="C14" s="2"/>
      <c r="D14" s="2"/>
      <c r="E14" s="9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9</v>
      </c>
      <c r="C15" s="2"/>
      <c r="D15" s="8">
        <f t="array" ref="D15:I15">D7:I7</f>
        <v>85.17747147</v>
      </c>
      <c r="E15" s="8">
        <v>19.26832614403835</v>
      </c>
      <c r="F15" s="8">
        <v>15.982131792223331</v>
      </c>
      <c r="G15" s="8">
        <v>0.4904012712175443</v>
      </c>
      <c r="H15" s="8">
        <v>48.046921092261506</v>
      </c>
      <c r="I15" s="8">
        <v>52.9729265971159</v>
      </c>
      <c r="J15" s="18">
        <f>RAND()* 100</f>
        <v>94.85760821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 t="s">
        <v>12</v>
      </c>
      <c r="C16" s="2"/>
      <c r="D16" s="19">
        <f t="shared" ref="D16:J16" si="2">rand()</f>
        <v>0.8915205899</v>
      </c>
      <c r="E16" s="19">
        <f t="shared" si="2"/>
        <v>0.9737554369</v>
      </c>
      <c r="F16" s="19">
        <f t="shared" si="2"/>
        <v>0.2568973222</v>
      </c>
      <c r="G16" s="19">
        <f t="shared" si="2"/>
        <v>0.2118609463</v>
      </c>
      <c r="H16" s="19">
        <f t="shared" si="2"/>
        <v>0.2645266663</v>
      </c>
      <c r="I16" s="19">
        <f t="shared" si="2"/>
        <v>0.06955951958</v>
      </c>
      <c r="J16" s="19">
        <f t="shared" si="2"/>
        <v>0.5060425333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/>
      <c r="C17" s="2"/>
      <c r="D17" s="2"/>
      <c r="E17" s="2"/>
      <c r="F17" s="2"/>
      <c r="G17" s="2"/>
      <c r="H17" s="2"/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7" t="s">
        <v>13</v>
      </c>
      <c r="C18" s="2"/>
      <c r="D18" s="2" t="str">
        <f t="array" ref="D18:I18">D5:I5</f>
        <v>brown</v>
      </c>
      <c r="E18" s="2" t="s">
        <v>5</v>
      </c>
      <c r="F18" s="2" t="s">
        <v>6</v>
      </c>
      <c r="G18" s="2" t="s">
        <v>7</v>
      </c>
      <c r="H18" s="2" t="s">
        <v>3</v>
      </c>
      <c r="I18" s="2" t="s">
        <v>8</v>
      </c>
      <c r="J18" s="20" t="s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7" t="s">
        <v>15</v>
      </c>
      <c r="I20" s="9">
        <v>0.8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21">
        <f>J16</f>
        <v>0.5060425333</v>
      </c>
      <c r="J21" s="2"/>
      <c r="K21" s="2"/>
      <c r="L21" s="2"/>
      <c r="M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7" t="s">
        <v>17</v>
      </c>
      <c r="I22" s="19">
        <f>RAND()</f>
        <v>0.9417004089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18</v>
      </c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 t="s">
        <v>19</v>
      </c>
      <c r="E26" s="23"/>
      <c r="F26" s="23"/>
      <c r="G26" s="24" t="s">
        <v>20</v>
      </c>
      <c r="K26" s="23"/>
      <c r="L26" s="23"/>
      <c r="M26" s="24" t="s">
        <v>20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4" t="s">
        <v>2</v>
      </c>
      <c r="C28" s="5" t="s">
        <v>3</v>
      </c>
      <c r="D28" s="6" t="s">
        <v>4</v>
      </c>
      <c r="E28" s="6"/>
      <c r="F28" s="6"/>
      <c r="G28" s="6"/>
      <c r="H28" s="4" t="s">
        <v>2</v>
      </c>
      <c r="I28" s="5" t="s">
        <v>3</v>
      </c>
      <c r="J28" s="6" t="s">
        <v>4</v>
      </c>
      <c r="K28" s="2"/>
      <c r="L28" s="2"/>
      <c r="M28" s="2"/>
      <c r="N28" s="4" t="s">
        <v>2</v>
      </c>
      <c r="O28" s="25" t="s">
        <v>21</v>
      </c>
      <c r="P28" s="25" t="s">
        <v>22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 t="s">
        <v>9</v>
      </c>
      <c r="C30" s="8">
        <f t="shared" ref="C30:D30" si="3">RAND()* 100</f>
        <v>21.36614251</v>
      </c>
      <c r="D30" s="8">
        <f t="shared" si="3"/>
        <v>37.80159573</v>
      </c>
      <c r="E30" s="8"/>
      <c r="F30" s="8"/>
      <c r="G30" s="8"/>
      <c r="H30" s="7" t="s">
        <v>9</v>
      </c>
      <c r="I30" s="8">
        <f t="shared" ref="I30:J30" si="4">C30</f>
        <v>21.36614251</v>
      </c>
      <c r="J30" s="8">
        <f t="shared" si="4"/>
        <v>37.80159573</v>
      </c>
      <c r="K30" s="2"/>
      <c r="L30" s="2"/>
      <c r="M30" s="2"/>
      <c r="N30" s="7" t="s">
        <v>9</v>
      </c>
      <c r="O30" s="8">
        <f t="shared" ref="O30:P30" si="5">RAND()* 100</f>
        <v>67.44503429</v>
      </c>
      <c r="P30" s="8">
        <f t="shared" si="5"/>
        <v>72.34131648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10</v>
      </c>
      <c r="F31" s="2"/>
      <c r="G31" s="2"/>
      <c r="H31" s="1"/>
      <c r="I31" s="2"/>
      <c r="J31" s="9" t="s">
        <v>10</v>
      </c>
      <c r="K31" s="2"/>
      <c r="L31" s="2"/>
      <c r="M31" s="2"/>
      <c r="N31" s="1"/>
      <c r="O31" s="2"/>
      <c r="P31" s="9" t="s">
        <v>10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9" t="s">
        <v>10</v>
      </c>
      <c r="F32" s="2"/>
      <c r="G32" s="2"/>
      <c r="H32" s="1"/>
      <c r="I32" s="2"/>
      <c r="J32" s="9" t="s">
        <v>10</v>
      </c>
      <c r="K32" s="2"/>
      <c r="L32" s="2"/>
      <c r="M32" s="2"/>
      <c r="N32" s="1"/>
      <c r="O32" s="2"/>
      <c r="P32" s="9" t="s">
        <v>10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6" t="s">
        <v>11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3"/>
      <c r="Q34" s="14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10</v>
      </c>
      <c r="F36" s="2"/>
      <c r="G36" s="2"/>
      <c r="H36" s="2"/>
      <c r="I36" s="2"/>
      <c r="J36" s="2"/>
      <c r="K36" s="9" t="s">
        <v>10</v>
      </c>
      <c r="L36" s="2"/>
      <c r="M36" s="2"/>
      <c r="N36" s="2"/>
      <c r="O36" s="2"/>
      <c r="P36" s="2"/>
      <c r="Q36" s="9" t="s">
        <v>10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2"/>
      <c r="D37" s="2"/>
      <c r="E37" s="9" t="s">
        <v>10</v>
      </c>
      <c r="F37" s="2"/>
      <c r="G37" s="2"/>
      <c r="H37" s="2"/>
      <c r="I37" s="2"/>
      <c r="J37" s="2"/>
      <c r="K37" s="9" t="s">
        <v>10</v>
      </c>
      <c r="L37" s="2"/>
      <c r="M37" s="2"/>
      <c r="N37" s="2"/>
      <c r="O37" s="2"/>
      <c r="P37" s="2"/>
      <c r="Q37" s="9" t="s">
        <v>10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9</v>
      </c>
      <c r="D38" s="8">
        <f>D30</f>
        <v>37.80159573</v>
      </c>
      <c r="E38" s="18">
        <f>RAND()* 100</f>
        <v>11.92249625</v>
      </c>
      <c r="F38" s="2"/>
      <c r="G38" s="2"/>
      <c r="H38" s="2"/>
      <c r="I38" s="7" t="s">
        <v>9</v>
      </c>
      <c r="J38" s="8">
        <f>J30</f>
        <v>37.80159573</v>
      </c>
      <c r="K38" s="18">
        <f>RAND()* 100</f>
        <v>88.59798634</v>
      </c>
      <c r="L38" s="2"/>
      <c r="M38" s="2"/>
      <c r="N38" s="2"/>
      <c r="O38" s="7" t="s">
        <v>9</v>
      </c>
      <c r="P38" s="8">
        <f>P30</f>
        <v>72.34131648</v>
      </c>
      <c r="Q38" s="18">
        <f>RAND()* 100</f>
        <v>97.79345266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 t="s">
        <v>12</v>
      </c>
      <c r="D39" s="19">
        <f t="shared" ref="D39:E39" si="6">rand()</f>
        <v>0.8522825927</v>
      </c>
      <c r="E39" s="19">
        <f t="shared" si="6"/>
        <v>0.2917141922</v>
      </c>
      <c r="F39" s="19"/>
      <c r="G39" s="19"/>
      <c r="H39" s="19"/>
      <c r="I39" s="7" t="s">
        <v>12</v>
      </c>
      <c r="J39" s="19">
        <f t="shared" ref="J39:K39" si="7">rand()</f>
        <v>0.485731669</v>
      </c>
      <c r="K39" s="19">
        <f t="shared" si="7"/>
        <v>0.7793107746</v>
      </c>
      <c r="L39" s="2"/>
      <c r="M39" s="2"/>
      <c r="N39" s="2"/>
      <c r="O39" s="7" t="s">
        <v>12</v>
      </c>
      <c r="P39" s="19">
        <f t="shared" ref="P39:Q39" si="8">rand()</f>
        <v>0.9736530074</v>
      </c>
      <c r="Q39" s="19">
        <f t="shared" si="8"/>
        <v>0.9874910677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C40" s="7"/>
      <c r="D40" s="2"/>
      <c r="E40" s="6"/>
      <c r="F40" s="2"/>
      <c r="G40" s="2"/>
      <c r="H40" s="2"/>
      <c r="I40" s="7"/>
      <c r="J40" s="2"/>
      <c r="K40" s="6"/>
      <c r="L40" s="2"/>
      <c r="M40" s="2"/>
      <c r="N40" s="2"/>
      <c r="O40" s="7"/>
      <c r="P40" s="2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C41" s="7" t="s">
        <v>13</v>
      </c>
      <c r="D41" s="2" t="str">
        <f>D28</f>
        <v>brown</v>
      </c>
      <c r="E41" s="27" t="s">
        <v>5</v>
      </c>
      <c r="F41" s="2"/>
      <c r="G41" s="2"/>
      <c r="H41" s="2"/>
      <c r="I41" s="7" t="s">
        <v>13</v>
      </c>
      <c r="J41" s="2" t="str">
        <f>J28</f>
        <v>brown</v>
      </c>
      <c r="K41" s="27" t="s">
        <v>14</v>
      </c>
      <c r="L41" s="2"/>
      <c r="M41" s="2"/>
      <c r="N41" s="2"/>
      <c r="O41" s="7" t="s">
        <v>13</v>
      </c>
      <c r="P41" s="2" t="str">
        <f>P28</f>
        <v>world</v>
      </c>
      <c r="Q41" s="27" t="s">
        <v>23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7" t="s">
        <v>24</v>
      </c>
      <c r="K46" s="19">
        <f>rand()</f>
        <v>0.07619514866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25</v>
      </c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7" t="s">
        <v>26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7" t="s">
        <v>27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7" t="s">
        <v>28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9" t="s">
        <v>29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9" t="s">
        <v>30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 t="s">
        <v>31</v>
      </c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2"/>
      <c r="F75" s="7" t="s">
        <v>32</v>
      </c>
      <c r="G75" s="29" t="s">
        <v>33</v>
      </c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7" t="s">
        <v>34</v>
      </c>
      <c r="D77" s="29" t="s">
        <v>35</v>
      </c>
      <c r="E77" s="2"/>
      <c r="F77" s="2"/>
      <c r="G77" s="2"/>
      <c r="H77" s="2"/>
      <c r="K77" s="2"/>
      <c r="L77" s="7" t="s">
        <v>36</v>
      </c>
      <c r="M77" s="30" t="s">
        <v>37</v>
      </c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7" t="s">
        <v>38</v>
      </c>
      <c r="D79" s="29" t="s">
        <v>39</v>
      </c>
      <c r="E79" s="2"/>
      <c r="F79" s="2"/>
      <c r="G79" s="2"/>
      <c r="H79" s="2"/>
      <c r="I79" s="2"/>
      <c r="J79" s="2"/>
      <c r="K79" s="2"/>
      <c r="L79" s="7" t="s">
        <v>40</v>
      </c>
      <c r="M79" s="29" t="s">
        <v>41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7"/>
      <c r="F80" s="2"/>
      <c r="G80" s="9" t="s">
        <v>10</v>
      </c>
      <c r="H80" s="2"/>
      <c r="I80" s="2"/>
      <c r="J80" s="2"/>
      <c r="K80" s="2"/>
      <c r="L80" s="2"/>
      <c r="M80" s="2"/>
      <c r="N80" s="9" t="s">
        <v>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 t="s">
        <v>42</v>
      </c>
    </row>
    <row r="82">
      <c r="B82" s="1"/>
      <c r="C82" s="2"/>
      <c r="D82" s="2"/>
      <c r="E82" s="2"/>
      <c r="F82" s="2"/>
      <c r="G82" s="9" t="s">
        <v>10</v>
      </c>
      <c r="H82" s="2"/>
      <c r="I82" s="2"/>
      <c r="J82" s="2"/>
      <c r="K82" s="2"/>
      <c r="L82" s="2"/>
      <c r="M82" s="2"/>
      <c r="N82" s="9" t="s">
        <v>10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6" t="s">
        <v>11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13"/>
      <c r="R84" s="14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9" t="s">
        <v>10</v>
      </c>
      <c r="H86" s="2"/>
      <c r="I86" s="2"/>
      <c r="J86" s="2"/>
      <c r="K86" s="2"/>
      <c r="L86" s="2"/>
      <c r="M86" s="2"/>
      <c r="O86" s="2"/>
      <c r="P86" s="9" t="s">
        <v>10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9" t="s">
        <v>10</v>
      </c>
      <c r="H87" s="2"/>
      <c r="I87" s="2"/>
      <c r="J87" s="2"/>
      <c r="K87" s="2"/>
      <c r="L87" s="2"/>
      <c r="M87" s="2"/>
      <c r="O87" s="2"/>
      <c r="P87" s="9" t="s">
        <v>10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7" t="s">
        <v>43</v>
      </c>
      <c r="C88" s="8">
        <f t="shared" ref="C88:I88" si="9">rand()*100</f>
        <v>17.50140088</v>
      </c>
      <c r="D88" s="8">
        <f t="shared" si="9"/>
        <v>94.73976062</v>
      </c>
      <c r="E88" s="8">
        <f t="shared" si="9"/>
        <v>82.6793457</v>
      </c>
      <c r="F88" s="8">
        <f t="shared" si="9"/>
        <v>16.43927227</v>
      </c>
      <c r="G88" s="8">
        <f t="shared" si="9"/>
        <v>24.82208493</v>
      </c>
      <c r="H88" s="8">
        <f t="shared" si="9"/>
        <v>12.38708974</v>
      </c>
      <c r="I88" s="8">
        <f t="shared" si="9"/>
        <v>56.39513009</v>
      </c>
      <c r="J88" s="2"/>
      <c r="K88" s="2"/>
      <c r="L88" s="8">
        <f t="array" ref="L88:O89">C88:F89</f>
        <v>17.50140088</v>
      </c>
      <c r="M88" s="8">
        <v>94.73976062406291</v>
      </c>
      <c r="N88" s="8">
        <v>82.67934569577076</v>
      </c>
      <c r="O88" s="8">
        <v>16.43927227194968</v>
      </c>
      <c r="P88" s="8">
        <f t="shared" ref="P88:R88" si="10">rand()*100</f>
        <v>62.50320054</v>
      </c>
      <c r="Q88" s="8">
        <f t="shared" si="10"/>
        <v>66.29749081</v>
      </c>
      <c r="R88" s="8">
        <f t="shared" si="10"/>
        <v>74.88584127</v>
      </c>
      <c r="S88" s="2"/>
      <c r="T88" s="2"/>
      <c r="U88" s="2"/>
      <c r="V88" s="2"/>
      <c r="W88" s="2"/>
      <c r="X88" s="2"/>
      <c r="Y88" s="2"/>
      <c r="Z88" s="2"/>
    </row>
    <row r="89">
      <c r="B89" s="7" t="s">
        <v>12</v>
      </c>
      <c r="C89" s="31">
        <f t="shared" ref="C89:I89" si="11">rand()</f>
        <v>0.4364022572</v>
      </c>
      <c r="D89" s="31">
        <f t="shared" si="11"/>
        <v>0.9129372794</v>
      </c>
      <c r="E89" s="31">
        <f t="shared" si="11"/>
        <v>0.6150745016</v>
      </c>
      <c r="F89" s="31">
        <f t="shared" si="11"/>
        <v>0.9799834257</v>
      </c>
      <c r="G89" s="31">
        <f t="shared" si="11"/>
        <v>0.1329078665</v>
      </c>
      <c r="H89" s="31">
        <f t="shared" si="11"/>
        <v>0.1942700562</v>
      </c>
      <c r="I89" s="31">
        <f t="shared" si="11"/>
        <v>0.254502242</v>
      </c>
      <c r="J89" s="2"/>
      <c r="K89" s="2"/>
      <c r="L89" s="31">
        <v>0.4364022572471954</v>
      </c>
      <c r="M89" s="31">
        <v>0.9129372793898756</v>
      </c>
      <c r="N89" s="31">
        <v>0.6150745016312023</v>
      </c>
      <c r="O89" s="31">
        <v>0.9799834256910839</v>
      </c>
      <c r="P89" s="31">
        <f t="shared" ref="P89:R89" si="12">rand()</f>
        <v>0.8756566061</v>
      </c>
      <c r="Q89" s="31">
        <f t="shared" si="12"/>
        <v>0.5312168656</v>
      </c>
      <c r="R89" s="31">
        <f t="shared" si="12"/>
        <v>0.4723810783</v>
      </c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 t="s">
        <v>45</v>
      </c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32" t="s">
        <v>46</v>
      </c>
      <c r="C101" s="33">
        <f t="array" ref="C101:I101">C89:I89</f>
        <v>0.4364022572</v>
      </c>
      <c r="D101" s="33">
        <v>0.9129372793898756</v>
      </c>
      <c r="E101" s="33">
        <v>0.6150745016312023</v>
      </c>
      <c r="F101" s="33">
        <v>0.9799834256910839</v>
      </c>
      <c r="G101" s="33">
        <v>0.13290786649245523</v>
      </c>
      <c r="H101" s="33">
        <v>0.1942700562264742</v>
      </c>
      <c r="I101" s="33">
        <v>0.254502242018251</v>
      </c>
      <c r="J101" s="34"/>
      <c r="K101" s="32" t="s">
        <v>47</v>
      </c>
      <c r="L101" s="33">
        <f t="array" ref="L101:R101">L89:R89</f>
        <v>0.4364022572</v>
      </c>
      <c r="M101" s="33">
        <v>0.9129372793898756</v>
      </c>
      <c r="N101" s="33">
        <v>0.6150745016312023</v>
      </c>
      <c r="O101" s="33">
        <v>0.9799834256910839</v>
      </c>
      <c r="P101" s="33">
        <v>0.8756566061014804</v>
      </c>
      <c r="Q101" s="33">
        <v>0.5312168655856864</v>
      </c>
      <c r="R101" s="33">
        <v>0.4723810783147647</v>
      </c>
      <c r="S101" s="2"/>
      <c r="T101" s="2"/>
      <c r="U101" s="2"/>
      <c r="V101" s="2"/>
      <c r="W101" s="2"/>
      <c r="X101" s="2"/>
      <c r="Y101" s="2"/>
      <c r="Z101" s="2"/>
    </row>
    <row r="102">
      <c r="B102" s="7" t="s">
        <v>12</v>
      </c>
      <c r="C102" s="7"/>
      <c r="D102" s="19"/>
      <c r="E102" s="2"/>
      <c r="F102" s="2"/>
      <c r="G102" s="2"/>
      <c r="H102" s="2"/>
      <c r="I102" s="2"/>
      <c r="J102" s="2"/>
      <c r="K102" s="7" t="s">
        <v>12</v>
      </c>
      <c r="L102" s="7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7"/>
      <c r="D103" s="19"/>
      <c r="E103" s="2"/>
      <c r="F103" s="2"/>
      <c r="G103" s="2"/>
      <c r="H103" s="2"/>
      <c r="I103" s="2"/>
      <c r="J103" s="2"/>
      <c r="L103" s="7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7" t="s">
        <v>48</v>
      </c>
      <c r="D104" s="35" t="s">
        <v>49</v>
      </c>
      <c r="E104" s="2"/>
      <c r="F104" s="2"/>
      <c r="G104" s="2"/>
      <c r="H104" s="2"/>
      <c r="I104" s="2"/>
      <c r="J104" s="2"/>
      <c r="K104" s="7" t="s">
        <v>50</v>
      </c>
      <c r="L104" s="35" t="s">
        <v>51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 t="s">
        <v>52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7" t="s">
        <v>53</v>
      </c>
      <c r="E115" s="36">
        <v>2.0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7" t="s">
        <v>54</v>
      </c>
      <c r="E116" s="36">
        <v>0.5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7" t="s">
        <v>55</v>
      </c>
      <c r="E118" s="37" t="s">
        <v>56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7" t="s">
        <v>57</v>
      </c>
      <c r="E120" s="19" t="str">
        <f>1/(1+EXP(-E118))</f>
        <v>#VALUE!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3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7" t="s">
        <v>58</v>
      </c>
      <c r="E122" s="39" t="s">
        <v>59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D129" s="10" t="s">
        <v>11</v>
      </c>
      <c r="E129" s="11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D130" s="13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D131" s="15"/>
      <c r="E131" s="16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</sheetData>
  <mergeCells count="14">
    <mergeCell ref="A48:Z48"/>
    <mergeCell ref="A72:Z72"/>
    <mergeCell ref="A81:Z81"/>
    <mergeCell ref="E83:R85"/>
    <mergeCell ref="A91:Z91"/>
    <mergeCell ref="A106:Z106"/>
    <mergeCell ref="D129:F131"/>
    <mergeCell ref="A2:Z2"/>
    <mergeCell ref="D10:F12"/>
    <mergeCell ref="A24:Z24"/>
    <mergeCell ref="A26:D26"/>
    <mergeCell ref="G26:J26"/>
    <mergeCell ref="M26:P26"/>
    <mergeCell ref="D33:Q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