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anghan/CODE/LLM-workshop/"/>
    </mc:Choice>
  </mc:AlternateContent>
  <xr:revisionPtr revIDLastSave="0" documentId="13_ncr:1_{EDD9C105-AF4C-5342-BF85-E6E780A99F29}" xr6:coauthVersionLast="47" xr6:coauthVersionMax="47" xr10:uidLastSave="{00000000-0000-0000-0000-000000000000}"/>
  <bookViews>
    <workbookView xWindow="2620" yWindow="5280" windowWidth="36720" windowHeight="26740" xr2:uid="{00000000-000D-0000-FFFF-FFFF00000000}"/>
  </bookViews>
  <sheets>
    <sheet name="wo Answers" sheetId="1" r:id="rId1"/>
    <sheet name="w Answ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C9" i="1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 s="1"/>
  <c r="Q93" i="2" s="1"/>
  <c r="R93" i="2" s="1"/>
  <c r="S93" i="2" s="1"/>
  <c r="T93" i="2" s="1"/>
  <c r="U93" i="2" s="1"/>
  <c r="V93" i="2" s="1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D8" i="2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D230" i="1"/>
  <c r="E230" i="1" s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AB230" i="1" s="1"/>
  <c r="AC230" i="1" s="1"/>
  <c r="AD230" i="1" s="1"/>
  <c r="AE230" i="1" s="1"/>
  <c r="AF230" i="1" s="1"/>
  <c r="AG230" i="1" s="1"/>
  <c r="AH230" i="1" s="1"/>
  <c r="AI230" i="1" s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C95" i="1"/>
  <c r="C94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D56" i="1"/>
  <c r="C56" i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D55" i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D34" i="1"/>
  <c r="C124" i="2"/>
  <c r="C94" i="2"/>
  <c r="C95" i="2" s="1"/>
  <c r="C9" i="2"/>
  <c r="C4" i="2"/>
  <c r="C194" i="2" l="1"/>
  <c r="C195" i="2"/>
  <c r="C196" i="2"/>
  <c r="C190" i="2"/>
  <c r="C191" i="2" s="1"/>
  <c r="C193" i="2" s="1"/>
  <c r="C192" i="2"/>
  <c r="C158" i="2"/>
  <c r="C157" i="2"/>
  <c r="N124" i="2"/>
  <c r="K124" i="2"/>
  <c r="E124" i="2"/>
  <c r="F124" i="2"/>
  <c r="G124" i="2"/>
  <c r="H124" i="2"/>
  <c r="I124" i="2"/>
  <c r="J124" i="2"/>
  <c r="V124" i="2"/>
  <c r="U124" i="2"/>
  <c r="T124" i="2"/>
  <c r="S124" i="2"/>
  <c r="R124" i="2"/>
  <c r="Q124" i="2"/>
  <c r="L124" i="2"/>
  <c r="P124" i="2"/>
  <c r="M124" i="2"/>
  <c r="O124" i="2"/>
  <c r="D124" i="2"/>
  <c r="C125" i="2"/>
  <c r="C126" i="2"/>
  <c r="I94" i="2"/>
  <c r="I95" i="2" s="1"/>
  <c r="V94" i="2"/>
  <c r="V95" i="2" s="1"/>
  <c r="U94" i="2"/>
  <c r="U95" i="2" s="1"/>
  <c r="T94" i="2"/>
  <c r="T95" i="2" s="1"/>
  <c r="S94" i="2"/>
  <c r="S95" i="2" s="1"/>
  <c r="R94" i="2"/>
  <c r="R95" i="2" s="1"/>
  <c r="Q94" i="2"/>
  <c r="Q95" i="2" s="1"/>
  <c r="P94" i="2"/>
  <c r="P95" i="2" s="1"/>
  <c r="O94" i="2"/>
  <c r="O95" i="2" s="1"/>
  <c r="N94" i="2"/>
  <c r="N95" i="2" s="1"/>
  <c r="M94" i="2"/>
  <c r="M95" i="2" s="1"/>
  <c r="L94" i="2"/>
  <c r="L95" i="2" s="1"/>
  <c r="K94" i="2"/>
  <c r="K95" i="2" s="1"/>
  <c r="J94" i="2"/>
  <c r="J95" i="2" s="1"/>
  <c r="H94" i="2"/>
  <c r="H95" i="2" s="1"/>
  <c r="G94" i="2"/>
  <c r="G95" i="2" s="1"/>
  <c r="F94" i="2"/>
  <c r="F95" i="2" s="1"/>
  <c r="E94" i="2"/>
  <c r="E95" i="2" s="1"/>
  <c r="D94" i="2"/>
  <c r="D95" i="2" s="1"/>
  <c r="S9" i="2"/>
  <c r="V9" i="2"/>
  <c r="U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T9" i="2"/>
  <c r="V124" i="1"/>
  <c r="V125" i="1" s="1"/>
  <c r="C124" i="1"/>
  <c r="C125" i="1" s="1"/>
  <c r="T124" i="1"/>
  <c r="T125" i="1" s="1"/>
  <c r="S124" i="1"/>
  <c r="S125" i="1" s="1"/>
  <c r="R124" i="1"/>
  <c r="R125" i="1" s="1"/>
  <c r="Q124" i="1"/>
  <c r="Q125" i="1" s="1"/>
  <c r="P124" i="1"/>
  <c r="P125" i="1" s="1"/>
  <c r="O124" i="1"/>
  <c r="O125" i="1" s="1"/>
  <c r="N124" i="1"/>
  <c r="N125" i="1" s="1"/>
  <c r="M124" i="1"/>
  <c r="M125" i="1" s="1"/>
  <c r="L124" i="1"/>
  <c r="L125" i="1" s="1"/>
  <c r="K124" i="1"/>
  <c r="K125" i="1" s="1"/>
  <c r="J124" i="1"/>
  <c r="J125" i="1" s="1"/>
  <c r="I124" i="1"/>
  <c r="I125" i="1" s="1"/>
  <c r="H124" i="1"/>
  <c r="H125" i="1" s="1"/>
  <c r="G124" i="1"/>
  <c r="G125" i="1" s="1"/>
  <c r="F124" i="1"/>
  <c r="F125" i="1" s="1"/>
  <c r="U124" i="1"/>
  <c r="U125" i="1" s="1"/>
  <c r="D124" i="1"/>
  <c r="D125" i="1" s="1"/>
  <c r="E124" i="1"/>
  <c r="E125" i="1" s="1"/>
  <c r="L94" i="1"/>
  <c r="K94" i="1"/>
  <c r="N94" i="1"/>
  <c r="O94" i="1"/>
  <c r="P94" i="1"/>
  <c r="Q94" i="1"/>
  <c r="R94" i="1"/>
  <c r="S94" i="1"/>
  <c r="T94" i="1"/>
  <c r="U94" i="1"/>
  <c r="V94" i="1"/>
  <c r="M94" i="1"/>
  <c r="D94" i="1"/>
  <c r="E94" i="1"/>
  <c r="F94" i="1"/>
  <c r="G94" i="1"/>
  <c r="H94" i="1"/>
  <c r="I94" i="1"/>
  <c r="J94" i="1"/>
  <c r="G230" i="2" l="1"/>
  <c r="G231" i="2"/>
  <c r="E230" i="2"/>
  <c r="E231" i="2"/>
  <c r="F230" i="2"/>
  <c r="F231" i="2"/>
  <c r="H230" i="2"/>
  <c r="H231" i="2"/>
  <c r="C230" i="2"/>
  <c r="C231" i="2"/>
  <c r="AI230" i="2"/>
  <c r="AI231" i="2"/>
  <c r="AH230" i="2"/>
  <c r="AH231" i="2"/>
  <c r="AG230" i="2"/>
  <c r="AG231" i="2"/>
  <c r="AF230" i="2"/>
  <c r="AF231" i="2"/>
  <c r="AE230" i="2"/>
  <c r="AE231" i="2"/>
  <c r="AD230" i="2"/>
  <c r="AD231" i="2"/>
  <c r="AC230" i="2"/>
  <c r="AC231" i="2"/>
  <c r="AB230" i="2"/>
  <c r="AB231" i="2"/>
  <c r="AA230" i="2"/>
  <c r="AA231" i="2"/>
  <c r="Z230" i="2"/>
  <c r="Z231" i="2"/>
  <c r="Y230" i="2"/>
  <c r="Y231" i="2"/>
  <c r="X230" i="2"/>
  <c r="X231" i="2"/>
  <c r="W230" i="2"/>
  <c r="W231" i="2"/>
  <c r="V230" i="2"/>
  <c r="V231" i="2"/>
  <c r="U230" i="2"/>
  <c r="U231" i="2"/>
  <c r="T230" i="2"/>
  <c r="T231" i="2"/>
  <c r="S230" i="2"/>
  <c r="S231" i="2"/>
  <c r="R230" i="2"/>
  <c r="R231" i="2"/>
  <c r="Q231" i="2"/>
  <c r="Q230" i="2"/>
  <c r="P230" i="2"/>
  <c r="P231" i="2"/>
  <c r="O230" i="2"/>
  <c r="O231" i="2"/>
  <c r="N230" i="2"/>
  <c r="N231" i="2"/>
  <c r="M230" i="2"/>
  <c r="M231" i="2"/>
  <c r="L230" i="2"/>
  <c r="L231" i="2"/>
  <c r="K230" i="2"/>
  <c r="K231" i="2"/>
  <c r="J230" i="2"/>
  <c r="J231" i="2"/>
  <c r="I230" i="2"/>
  <c r="I231" i="2"/>
  <c r="D230" i="2"/>
  <c r="D231" i="2"/>
  <c r="E190" i="2"/>
  <c r="E191" i="2" s="1"/>
  <c r="E193" i="2" s="1"/>
  <c r="E192" i="2"/>
  <c r="E194" i="2"/>
  <c r="E196" i="2"/>
  <c r="E195" i="2"/>
  <c r="AI190" i="2"/>
  <c r="AI191" i="2" s="1"/>
  <c r="AI193" i="2" s="1"/>
  <c r="AI196" i="2"/>
  <c r="AI192" i="2"/>
  <c r="AI194" i="2"/>
  <c r="AI195" i="2"/>
  <c r="F190" i="2"/>
  <c r="F191" i="2" s="1"/>
  <c r="F193" i="2" s="1"/>
  <c r="F192" i="2"/>
  <c r="F194" i="2"/>
  <c r="F196" i="2"/>
  <c r="F195" i="2"/>
  <c r="G190" i="2"/>
  <c r="G191" i="2" s="1"/>
  <c r="G193" i="2" s="1"/>
  <c r="G192" i="2"/>
  <c r="G196" i="2"/>
  <c r="G194" i="2"/>
  <c r="G195" i="2"/>
  <c r="H190" i="2"/>
  <c r="H191" i="2" s="1"/>
  <c r="H193" i="2" s="1"/>
  <c r="H192" i="2"/>
  <c r="H194" i="2"/>
  <c r="H196" i="2"/>
  <c r="H195" i="2"/>
  <c r="I190" i="2"/>
  <c r="I191" i="2" s="1"/>
  <c r="I193" i="2" s="1"/>
  <c r="I192" i="2"/>
  <c r="I196" i="2"/>
  <c r="I194" i="2"/>
  <c r="I195" i="2"/>
  <c r="J190" i="2"/>
  <c r="J191" i="2" s="1"/>
  <c r="J193" i="2" s="1"/>
  <c r="J192" i="2"/>
  <c r="J194" i="2"/>
  <c r="J196" i="2"/>
  <c r="J195" i="2"/>
  <c r="K190" i="2"/>
  <c r="K191" i="2" s="1"/>
  <c r="K193" i="2" s="1"/>
  <c r="K192" i="2"/>
  <c r="K196" i="2"/>
  <c r="K194" i="2"/>
  <c r="K195" i="2"/>
  <c r="L190" i="2"/>
  <c r="L191" i="2" s="1"/>
  <c r="L193" i="2" s="1"/>
  <c r="L192" i="2"/>
  <c r="L194" i="2"/>
  <c r="L196" i="2"/>
  <c r="L195" i="2"/>
  <c r="M190" i="2"/>
  <c r="M191" i="2" s="1"/>
  <c r="M193" i="2" s="1"/>
  <c r="M192" i="2"/>
  <c r="M194" i="2"/>
  <c r="M196" i="2"/>
  <c r="M195" i="2"/>
  <c r="N190" i="2"/>
  <c r="N191" i="2" s="1"/>
  <c r="N193" i="2" s="1"/>
  <c r="N192" i="2"/>
  <c r="N196" i="2"/>
  <c r="N194" i="2"/>
  <c r="N195" i="2"/>
  <c r="O190" i="2"/>
  <c r="O191" i="2" s="1"/>
  <c r="O193" i="2" s="1"/>
  <c r="O192" i="2"/>
  <c r="O194" i="2"/>
  <c r="O196" i="2"/>
  <c r="O195" i="2"/>
  <c r="P190" i="2"/>
  <c r="P191" i="2" s="1"/>
  <c r="P193" i="2" s="1"/>
  <c r="P192" i="2"/>
  <c r="P196" i="2"/>
  <c r="P194" i="2"/>
  <c r="P195" i="2"/>
  <c r="Q190" i="2"/>
  <c r="Q191" i="2" s="1"/>
  <c r="Q193" i="2" s="1"/>
  <c r="Q192" i="2"/>
  <c r="Q196" i="2"/>
  <c r="Q194" i="2"/>
  <c r="Q195" i="2"/>
  <c r="R190" i="2"/>
  <c r="R191" i="2" s="1"/>
  <c r="R193" i="2" s="1"/>
  <c r="R192" i="2"/>
  <c r="R194" i="2"/>
  <c r="R196" i="2"/>
  <c r="R195" i="2"/>
  <c r="S190" i="2"/>
  <c r="S191" i="2" s="1"/>
  <c r="S193" i="2" s="1"/>
  <c r="S194" i="2"/>
  <c r="S196" i="2"/>
  <c r="S192" i="2"/>
  <c r="S195" i="2"/>
  <c r="T190" i="2"/>
  <c r="T191" i="2" s="1"/>
  <c r="T193" i="2" s="1"/>
  <c r="T192" i="2"/>
  <c r="T194" i="2"/>
  <c r="T196" i="2"/>
  <c r="T195" i="2"/>
  <c r="U190" i="2"/>
  <c r="U191" i="2" s="1"/>
  <c r="U193" i="2" s="1"/>
  <c r="U196" i="2"/>
  <c r="U192" i="2"/>
  <c r="U194" i="2"/>
  <c r="U195" i="2"/>
  <c r="V190" i="2"/>
  <c r="V191" i="2" s="1"/>
  <c r="V193" i="2" s="1"/>
  <c r="V192" i="2"/>
  <c r="V194" i="2"/>
  <c r="V196" i="2"/>
  <c r="V195" i="2"/>
  <c r="W190" i="2"/>
  <c r="W191" i="2" s="1"/>
  <c r="W193" i="2" s="1"/>
  <c r="W196" i="2"/>
  <c r="W192" i="2"/>
  <c r="W194" i="2"/>
  <c r="W195" i="2"/>
  <c r="X190" i="2"/>
  <c r="X191" i="2" s="1"/>
  <c r="X193" i="2" s="1"/>
  <c r="X194" i="2"/>
  <c r="X196" i="2"/>
  <c r="X192" i="2"/>
  <c r="X195" i="2"/>
  <c r="Y190" i="2"/>
  <c r="Y191" i="2" s="1"/>
  <c r="Y193" i="2" s="1"/>
  <c r="Y192" i="2"/>
  <c r="Y196" i="2"/>
  <c r="Y194" i="2"/>
  <c r="Y195" i="2"/>
  <c r="Z190" i="2"/>
  <c r="Z191" i="2" s="1"/>
  <c r="Z193" i="2" s="1"/>
  <c r="Z196" i="2"/>
  <c r="Z192" i="2"/>
  <c r="Z194" i="2"/>
  <c r="Z195" i="2"/>
  <c r="AA190" i="2"/>
  <c r="AA191" i="2" s="1"/>
  <c r="AA193" i="2" s="1"/>
  <c r="AA192" i="2"/>
  <c r="AA196" i="2"/>
  <c r="AA194" i="2"/>
  <c r="AA195" i="2"/>
  <c r="AB190" i="2"/>
  <c r="AB191" i="2" s="1"/>
  <c r="AB193" i="2" s="1"/>
  <c r="AB196" i="2"/>
  <c r="AB192" i="2"/>
  <c r="AB194" i="2"/>
  <c r="AB195" i="2"/>
  <c r="AC190" i="2"/>
  <c r="AC191" i="2" s="1"/>
  <c r="AC193" i="2" s="1"/>
  <c r="AC192" i="2"/>
  <c r="AC196" i="2"/>
  <c r="AC194" i="2"/>
  <c r="AC195" i="2"/>
  <c r="AD190" i="2"/>
  <c r="AD191" i="2" s="1"/>
  <c r="AD193" i="2" s="1"/>
  <c r="AD196" i="2"/>
  <c r="AD192" i="2"/>
  <c r="AD194" i="2"/>
  <c r="AD195" i="2"/>
  <c r="AE190" i="2"/>
  <c r="AE191" i="2" s="1"/>
  <c r="AE193" i="2" s="1"/>
  <c r="AE192" i="2"/>
  <c r="AE196" i="2"/>
  <c r="AE194" i="2"/>
  <c r="AE195" i="2"/>
  <c r="AF190" i="2"/>
  <c r="AF191" i="2" s="1"/>
  <c r="AF193" i="2" s="1"/>
  <c r="AF196" i="2"/>
  <c r="AF192" i="2"/>
  <c r="AF194" i="2"/>
  <c r="AF195" i="2"/>
  <c r="AG190" i="2"/>
  <c r="AG191" i="2" s="1"/>
  <c r="AG193" i="2" s="1"/>
  <c r="AG192" i="2"/>
  <c r="AG196" i="2"/>
  <c r="AG194" i="2"/>
  <c r="AG195" i="2"/>
  <c r="AH190" i="2"/>
  <c r="AH191" i="2" s="1"/>
  <c r="AH193" i="2" s="1"/>
  <c r="AH192" i="2"/>
  <c r="AH196" i="2"/>
  <c r="AH194" i="2"/>
  <c r="AH195" i="2"/>
  <c r="D190" i="2"/>
  <c r="D191" i="2" s="1"/>
  <c r="D193" i="2" s="1"/>
  <c r="D192" i="2"/>
  <c r="D196" i="2"/>
  <c r="C197" i="2" a="1"/>
  <c r="D194" i="2"/>
  <c r="D195" i="2"/>
  <c r="D157" i="2"/>
  <c r="D158" i="2"/>
  <c r="E157" i="2"/>
  <c r="E158" i="2"/>
  <c r="F157" i="2"/>
  <c r="F158" i="2"/>
  <c r="G157" i="2"/>
  <c r="G158" i="2"/>
  <c r="H157" i="2"/>
  <c r="H158" i="2"/>
  <c r="I157" i="2"/>
  <c r="I158" i="2"/>
  <c r="J157" i="2"/>
  <c r="J158" i="2"/>
  <c r="K157" i="2"/>
  <c r="K158" i="2"/>
  <c r="L157" i="2"/>
  <c r="L158" i="2"/>
  <c r="M157" i="2"/>
  <c r="M158" i="2"/>
  <c r="N157" i="2"/>
  <c r="N158" i="2"/>
  <c r="O157" i="2"/>
  <c r="O158" i="2"/>
  <c r="P157" i="2"/>
  <c r="P158" i="2"/>
  <c r="Q157" i="2"/>
  <c r="Q158" i="2"/>
  <c r="R157" i="2"/>
  <c r="R158" i="2"/>
  <c r="S157" i="2"/>
  <c r="S158" i="2"/>
  <c r="T157" i="2"/>
  <c r="T158" i="2"/>
  <c r="U157" i="2"/>
  <c r="U158" i="2"/>
  <c r="V157" i="2"/>
  <c r="V158" i="2"/>
  <c r="N125" i="2"/>
  <c r="N126" i="2"/>
  <c r="K125" i="2"/>
  <c r="K126" i="2"/>
  <c r="E125" i="2"/>
  <c r="E126" i="2"/>
  <c r="F125" i="2"/>
  <c r="F126" i="2"/>
  <c r="G125" i="2"/>
  <c r="G126" i="2"/>
  <c r="H125" i="2"/>
  <c r="H126" i="2"/>
  <c r="I125" i="2"/>
  <c r="I126" i="2"/>
  <c r="J125" i="2"/>
  <c r="J126" i="2"/>
  <c r="V125" i="2"/>
  <c r="V126" i="2"/>
  <c r="U125" i="2"/>
  <c r="U126" i="2"/>
  <c r="T125" i="2"/>
  <c r="T126" i="2"/>
  <c r="S125" i="2"/>
  <c r="S126" i="2"/>
  <c r="R125" i="2"/>
  <c r="R126" i="2"/>
  <c r="Q125" i="2"/>
  <c r="Q126" i="2"/>
  <c r="L125" i="2"/>
  <c r="L126" i="2"/>
  <c r="P125" i="2"/>
  <c r="P126" i="2"/>
  <c r="M125" i="2"/>
  <c r="M126" i="2"/>
  <c r="O125" i="2"/>
  <c r="O126" i="2"/>
  <c r="D125" i="2"/>
  <c r="D126" i="2"/>
  <c r="K35" i="2"/>
  <c r="K56" i="2" s="1"/>
  <c r="K36" i="2"/>
  <c r="K57" i="2" s="1"/>
  <c r="K37" i="2"/>
  <c r="K58" i="2" s="1"/>
  <c r="K38" i="2"/>
  <c r="K59" i="2" s="1"/>
  <c r="K39" i="2"/>
  <c r="K60" i="2" s="1"/>
  <c r="K40" i="2"/>
  <c r="K61" i="2" s="1"/>
  <c r="K41" i="2"/>
  <c r="K62" i="2" s="1"/>
  <c r="K42" i="2"/>
  <c r="K63" i="2" s="1"/>
  <c r="K43" i="2"/>
  <c r="K64" i="2" s="1"/>
  <c r="K44" i="2"/>
  <c r="K65" i="2" s="1"/>
  <c r="K45" i="2"/>
  <c r="K66" i="2" s="1"/>
  <c r="K46" i="2"/>
  <c r="K67" i="2" s="1"/>
  <c r="K47" i="2"/>
  <c r="K68" i="2" s="1"/>
  <c r="K48" i="2"/>
  <c r="K69" i="2" s="1"/>
  <c r="K49" i="2"/>
  <c r="K70" i="2" s="1"/>
  <c r="K50" i="2"/>
  <c r="K71" i="2" s="1"/>
  <c r="K51" i="2"/>
  <c r="K72" i="2" s="1"/>
  <c r="K52" i="2"/>
  <c r="K73" i="2" s="1"/>
  <c r="K53" i="2"/>
  <c r="K74" i="2" s="1"/>
  <c r="R35" i="2"/>
  <c r="R56" i="2" s="1"/>
  <c r="R36" i="2"/>
  <c r="R57" i="2" s="1"/>
  <c r="R37" i="2"/>
  <c r="R58" i="2" s="1"/>
  <c r="R38" i="2"/>
  <c r="R59" i="2" s="1"/>
  <c r="R39" i="2"/>
  <c r="R60" i="2" s="1"/>
  <c r="R40" i="2"/>
  <c r="R61" i="2" s="1"/>
  <c r="R41" i="2"/>
  <c r="R62" i="2" s="1"/>
  <c r="R42" i="2"/>
  <c r="R63" i="2" s="1"/>
  <c r="R43" i="2"/>
  <c r="R64" i="2" s="1"/>
  <c r="R44" i="2"/>
  <c r="R65" i="2" s="1"/>
  <c r="R45" i="2"/>
  <c r="R66" i="2" s="1"/>
  <c r="R46" i="2"/>
  <c r="R67" i="2" s="1"/>
  <c r="R47" i="2"/>
  <c r="R68" i="2" s="1"/>
  <c r="R48" i="2"/>
  <c r="R69" i="2" s="1"/>
  <c r="R49" i="2"/>
  <c r="R70" i="2" s="1"/>
  <c r="R50" i="2"/>
  <c r="R71" i="2" s="1"/>
  <c r="R51" i="2"/>
  <c r="R72" i="2" s="1"/>
  <c r="R52" i="2"/>
  <c r="R73" i="2" s="1"/>
  <c r="R53" i="2"/>
  <c r="R74" i="2" s="1"/>
  <c r="E35" i="2"/>
  <c r="E56" i="2" s="1"/>
  <c r="E36" i="2"/>
  <c r="E57" i="2" s="1"/>
  <c r="E37" i="2"/>
  <c r="E58" i="2" s="1"/>
  <c r="E38" i="2"/>
  <c r="E59" i="2" s="1"/>
  <c r="E39" i="2"/>
  <c r="E60" i="2" s="1"/>
  <c r="E40" i="2"/>
  <c r="E61" i="2" s="1"/>
  <c r="E41" i="2"/>
  <c r="E62" i="2" s="1"/>
  <c r="E42" i="2"/>
  <c r="E63" i="2" s="1"/>
  <c r="E43" i="2"/>
  <c r="E64" i="2" s="1"/>
  <c r="E44" i="2"/>
  <c r="E65" i="2" s="1"/>
  <c r="E45" i="2"/>
  <c r="E66" i="2" s="1"/>
  <c r="E46" i="2"/>
  <c r="E67" i="2" s="1"/>
  <c r="E47" i="2"/>
  <c r="E68" i="2" s="1"/>
  <c r="E48" i="2"/>
  <c r="E69" i="2" s="1"/>
  <c r="E49" i="2"/>
  <c r="E70" i="2" s="1"/>
  <c r="E50" i="2"/>
  <c r="E71" i="2" s="1"/>
  <c r="E51" i="2"/>
  <c r="E72" i="2" s="1"/>
  <c r="E52" i="2"/>
  <c r="E73" i="2" s="1"/>
  <c r="E53" i="2"/>
  <c r="E74" i="2" s="1"/>
  <c r="F35" i="2"/>
  <c r="F56" i="2" s="1"/>
  <c r="F36" i="2"/>
  <c r="F57" i="2" s="1"/>
  <c r="F37" i="2"/>
  <c r="F58" i="2" s="1"/>
  <c r="F38" i="2"/>
  <c r="F59" i="2" s="1"/>
  <c r="F39" i="2"/>
  <c r="F60" i="2" s="1"/>
  <c r="F40" i="2"/>
  <c r="F61" i="2" s="1"/>
  <c r="F41" i="2"/>
  <c r="F62" i="2" s="1"/>
  <c r="F42" i="2"/>
  <c r="F63" i="2" s="1"/>
  <c r="F43" i="2"/>
  <c r="F64" i="2" s="1"/>
  <c r="F44" i="2"/>
  <c r="F65" i="2" s="1"/>
  <c r="F45" i="2"/>
  <c r="F66" i="2" s="1"/>
  <c r="F46" i="2"/>
  <c r="F67" i="2" s="1"/>
  <c r="F47" i="2"/>
  <c r="F68" i="2" s="1"/>
  <c r="F48" i="2"/>
  <c r="F69" i="2" s="1"/>
  <c r="F49" i="2"/>
  <c r="F70" i="2" s="1"/>
  <c r="F50" i="2"/>
  <c r="F71" i="2" s="1"/>
  <c r="F51" i="2"/>
  <c r="F72" i="2" s="1"/>
  <c r="F52" i="2"/>
  <c r="F73" i="2" s="1"/>
  <c r="F53" i="2"/>
  <c r="F74" i="2" s="1"/>
  <c r="G35" i="2"/>
  <c r="G56" i="2" s="1"/>
  <c r="G36" i="2"/>
  <c r="G57" i="2" s="1"/>
  <c r="G37" i="2"/>
  <c r="G58" i="2" s="1"/>
  <c r="G38" i="2"/>
  <c r="G59" i="2" s="1"/>
  <c r="G39" i="2"/>
  <c r="G60" i="2" s="1"/>
  <c r="G40" i="2"/>
  <c r="G61" i="2" s="1"/>
  <c r="G41" i="2"/>
  <c r="G62" i="2" s="1"/>
  <c r="G42" i="2"/>
  <c r="G63" i="2" s="1"/>
  <c r="G43" i="2"/>
  <c r="G64" i="2" s="1"/>
  <c r="G44" i="2"/>
  <c r="G65" i="2" s="1"/>
  <c r="G45" i="2"/>
  <c r="G66" i="2" s="1"/>
  <c r="G46" i="2"/>
  <c r="G67" i="2" s="1"/>
  <c r="G47" i="2"/>
  <c r="G68" i="2" s="1"/>
  <c r="G48" i="2"/>
  <c r="G69" i="2" s="1"/>
  <c r="G49" i="2"/>
  <c r="G70" i="2" s="1"/>
  <c r="G50" i="2"/>
  <c r="G71" i="2" s="1"/>
  <c r="G51" i="2"/>
  <c r="G72" i="2" s="1"/>
  <c r="G52" i="2"/>
  <c r="G73" i="2" s="1"/>
  <c r="G53" i="2"/>
  <c r="G74" i="2" s="1"/>
  <c r="H35" i="2"/>
  <c r="H56" i="2" s="1"/>
  <c r="H36" i="2"/>
  <c r="H57" i="2" s="1"/>
  <c r="H37" i="2"/>
  <c r="H58" i="2" s="1"/>
  <c r="H38" i="2"/>
  <c r="H59" i="2" s="1"/>
  <c r="H39" i="2"/>
  <c r="H60" i="2" s="1"/>
  <c r="H40" i="2"/>
  <c r="H61" i="2" s="1"/>
  <c r="H41" i="2"/>
  <c r="H62" i="2" s="1"/>
  <c r="H42" i="2"/>
  <c r="H63" i="2" s="1"/>
  <c r="H43" i="2"/>
  <c r="H64" i="2" s="1"/>
  <c r="H44" i="2"/>
  <c r="H65" i="2" s="1"/>
  <c r="H45" i="2"/>
  <c r="H66" i="2" s="1"/>
  <c r="H46" i="2"/>
  <c r="H67" i="2" s="1"/>
  <c r="H47" i="2"/>
  <c r="H68" i="2" s="1"/>
  <c r="H48" i="2"/>
  <c r="H69" i="2" s="1"/>
  <c r="H49" i="2"/>
  <c r="H70" i="2" s="1"/>
  <c r="H50" i="2"/>
  <c r="H71" i="2" s="1"/>
  <c r="H51" i="2"/>
  <c r="H72" i="2" s="1"/>
  <c r="H52" i="2"/>
  <c r="H73" i="2" s="1"/>
  <c r="H53" i="2"/>
  <c r="H74" i="2" s="1"/>
  <c r="I35" i="2"/>
  <c r="I56" i="2" s="1"/>
  <c r="I36" i="2"/>
  <c r="I57" i="2" s="1"/>
  <c r="I37" i="2"/>
  <c r="I58" i="2" s="1"/>
  <c r="I38" i="2"/>
  <c r="I59" i="2" s="1"/>
  <c r="I39" i="2"/>
  <c r="I60" i="2" s="1"/>
  <c r="I40" i="2"/>
  <c r="I61" i="2" s="1"/>
  <c r="I41" i="2"/>
  <c r="I62" i="2" s="1"/>
  <c r="I42" i="2"/>
  <c r="I63" i="2" s="1"/>
  <c r="I43" i="2"/>
  <c r="I64" i="2" s="1"/>
  <c r="I44" i="2"/>
  <c r="I65" i="2" s="1"/>
  <c r="I45" i="2"/>
  <c r="I66" i="2" s="1"/>
  <c r="I46" i="2"/>
  <c r="I67" i="2" s="1"/>
  <c r="I47" i="2"/>
  <c r="I68" i="2" s="1"/>
  <c r="I48" i="2"/>
  <c r="I69" i="2" s="1"/>
  <c r="I49" i="2"/>
  <c r="I70" i="2" s="1"/>
  <c r="I50" i="2"/>
  <c r="I71" i="2" s="1"/>
  <c r="I51" i="2"/>
  <c r="I72" i="2" s="1"/>
  <c r="I52" i="2"/>
  <c r="I73" i="2" s="1"/>
  <c r="I53" i="2"/>
  <c r="I74" i="2" s="1"/>
  <c r="J35" i="2"/>
  <c r="J56" i="2" s="1"/>
  <c r="J36" i="2"/>
  <c r="J57" i="2" s="1"/>
  <c r="J37" i="2"/>
  <c r="J58" i="2" s="1"/>
  <c r="J38" i="2"/>
  <c r="J59" i="2" s="1"/>
  <c r="J39" i="2"/>
  <c r="J60" i="2" s="1"/>
  <c r="J40" i="2"/>
  <c r="J61" i="2" s="1"/>
  <c r="J41" i="2"/>
  <c r="J62" i="2" s="1"/>
  <c r="J42" i="2"/>
  <c r="J63" i="2" s="1"/>
  <c r="J43" i="2"/>
  <c r="J64" i="2" s="1"/>
  <c r="J44" i="2"/>
  <c r="J65" i="2" s="1"/>
  <c r="J45" i="2"/>
  <c r="J66" i="2" s="1"/>
  <c r="J46" i="2"/>
  <c r="J67" i="2" s="1"/>
  <c r="J47" i="2"/>
  <c r="J68" i="2" s="1"/>
  <c r="J48" i="2"/>
  <c r="J69" i="2" s="1"/>
  <c r="J49" i="2"/>
  <c r="J70" i="2" s="1"/>
  <c r="J50" i="2"/>
  <c r="J71" i="2" s="1"/>
  <c r="J51" i="2"/>
  <c r="J72" i="2" s="1"/>
  <c r="J52" i="2"/>
  <c r="J73" i="2" s="1"/>
  <c r="J53" i="2"/>
  <c r="J74" i="2" s="1"/>
  <c r="V35" i="2"/>
  <c r="V56" i="2" s="1"/>
  <c r="V36" i="2"/>
  <c r="V57" i="2" s="1"/>
  <c r="V37" i="2"/>
  <c r="V58" i="2" s="1"/>
  <c r="V38" i="2"/>
  <c r="V59" i="2" s="1"/>
  <c r="V39" i="2"/>
  <c r="V60" i="2" s="1"/>
  <c r="V40" i="2"/>
  <c r="V61" i="2" s="1"/>
  <c r="V41" i="2"/>
  <c r="V62" i="2" s="1"/>
  <c r="V42" i="2"/>
  <c r="V63" i="2" s="1"/>
  <c r="V43" i="2"/>
  <c r="V64" i="2" s="1"/>
  <c r="V44" i="2"/>
  <c r="V65" i="2" s="1"/>
  <c r="V45" i="2"/>
  <c r="V66" i="2" s="1"/>
  <c r="V46" i="2"/>
  <c r="V67" i="2" s="1"/>
  <c r="V47" i="2"/>
  <c r="V68" i="2" s="1"/>
  <c r="V48" i="2"/>
  <c r="V69" i="2" s="1"/>
  <c r="V49" i="2"/>
  <c r="V70" i="2" s="1"/>
  <c r="V50" i="2"/>
  <c r="V71" i="2" s="1"/>
  <c r="V51" i="2"/>
  <c r="V72" i="2" s="1"/>
  <c r="V52" i="2"/>
  <c r="V73" i="2" s="1"/>
  <c r="V53" i="2"/>
  <c r="V74" i="2" s="1"/>
  <c r="U35" i="2"/>
  <c r="U56" i="2" s="1"/>
  <c r="U36" i="2"/>
  <c r="U57" i="2" s="1"/>
  <c r="U37" i="2"/>
  <c r="U58" i="2" s="1"/>
  <c r="U38" i="2"/>
  <c r="U59" i="2" s="1"/>
  <c r="U39" i="2"/>
  <c r="U60" i="2" s="1"/>
  <c r="U40" i="2"/>
  <c r="U61" i="2" s="1"/>
  <c r="U41" i="2"/>
  <c r="U62" i="2" s="1"/>
  <c r="U42" i="2"/>
  <c r="U63" i="2" s="1"/>
  <c r="U43" i="2"/>
  <c r="U64" i="2" s="1"/>
  <c r="U44" i="2"/>
  <c r="U65" i="2" s="1"/>
  <c r="U45" i="2"/>
  <c r="U66" i="2" s="1"/>
  <c r="U46" i="2"/>
  <c r="U67" i="2" s="1"/>
  <c r="U47" i="2"/>
  <c r="U68" i="2" s="1"/>
  <c r="U48" i="2"/>
  <c r="U69" i="2" s="1"/>
  <c r="U49" i="2"/>
  <c r="U70" i="2" s="1"/>
  <c r="U50" i="2"/>
  <c r="U71" i="2" s="1"/>
  <c r="U51" i="2"/>
  <c r="U72" i="2" s="1"/>
  <c r="U52" i="2"/>
  <c r="U73" i="2" s="1"/>
  <c r="U53" i="2"/>
  <c r="U74" i="2" s="1"/>
  <c r="T35" i="2"/>
  <c r="T56" i="2" s="1"/>
  <c r="T36" i="2"/>
  <c r="T57" i="2" s="1"/>
  <c r="T37" i="2"/>
  <c r="T58" i="2" s="1"/>
  <c r="T38" i="2"/>
  <c r="T59" i="2" s="1"/>
  <c r="T39" i="2"/>
  <c r="T60" i="2" s="1"/>
  <c r="T40" i="2"/>
  <c r="T61" i="2" s="1"/>
  <c r="T41" i="2"/>
  <c r="T62" i="2" s="1"/>
  <c r="T42" i="2"/>
  <c r="T63" i="2" s="1"/>
  <c r="T43" i="2"/>
  <c r="T64" i="2" s="1"/>
  <c r="T44" i="2"/>
  <c r="T65" i="2" s="1"/>
  <c r="T45" i="2"/>
  <c r="T66" i="2" s="1"/>
  <c r="T46" i="2"/>
  <c r="T67" i="2" s="1"/>
  <c r="T47" i="2"/>
  <c r="T68" i="2" s="1"/>
  <c r="T48" i="2"/>
  <c r="T69" i="2" s="1"/>
  <c r="T49" i="2"/>
  <c r="T70" i="2" s="1"/>
  <c r="T50" i="2"/>
  <c r="T71" i="2" s="1"/>
  <c r="T51" i="2"/>
  <c r="T72" i="2" s="1"/>
  <c r="T52" i="2"/>
  <c r="T73" i="2" s="1"/>
  <c r="T53" i="2"/>
  <c r="T74" i="2" s="1"/>
  <c r="S35" i="2"/>
  <c r="S56" i="2" s="1"/>
  <c r="S36" i="2"/>
  <c r="S57" i="2" s="1"/>
  <c r="S37" i="2"/>
  <c r="S58" i="2" s="1"/>
  <c r="S38" i="2"/>
  <c r="S59" i="2" s="1"/>
  <c r="S39" i="2"/>
  <c r="S60" i="2" s="1"/>
  <c r="S40" i="2"/>
  <c r="S61" i="2" s="1"/>
  <c r="S41" i="2"/>
  <c r="S62" i="2" s="1"/>
  <c r="S42" i="2"/>
  <c r="S63" i="2" s="1"/>
  <c r="S43" i="2"/>
  <c r="S64" i="2" s="1"/>
  <c r="S44" i="2"/>
  <c r="S65" i="2" s="1"/>
  <c r="S45" i="2"/>
  <c r="S66" i="2" s="1"/>
  <c r="S46" i="2"/>
  <c r="S67" i="2" s="1"/>
  <c r="S47" i="2"/>
  <c r="S68" i="2" s="1"/>
  <c r="S48" i="2"/>
  <c r="S69" i="2" s="1"/>
  <c r="S49" i="2"/>
  <c r="S70" i="2" s="1"/>
  <c r="S50" i="2"/>
  <c r="S71" i="2" s="1"/>
  <c r="S51" i="2"/>
  <c r="S72" i="2" s="1"/>
  <c r="S52" i="2"/>
  <c r="S73" i="2" s="1"/>
  <c r="S53" i="2"/>
  <c r="S74" i="2" s="1"/>
  <c r="L35" i="2"/>
  <c r="L56" i="2" s="1"/>
  <c r="L36" i="2"/>
  <c r="L57" i="2" s="1"/>
  <c r="L37" i="2"/>
  <c r="L58" i="2" s="1"/>
  <c r="L38" i="2"/>
  <c r="L59" i="2" s="1"/>
  <c r="L39" i="2"/>
  <c r="L60" i="2" s="1"/>
  <c r="L40" i="2"/>
  <c r="L61" i="2" s="1"/>
  <c r="L41" i="2"/>
  <c r="L62" i="2" s="1"/>
  <c r="L42" i="2"/>
  <c r="L63" i="2" s="1"/>
  <c r="L43" i="2"/>
  <c r="L64" i="2" s="1"/>
  <c r="L44" i="2"/>
  <c r="L65" i="2" s="1"/>
  <c r="L45" i="2"/>
  <c r="L66" i="2" s="1"/>
  <c r="L46" i="2"/>
  <c r="L67" i="2" s="1"/>
  <c r="L47" i="2"/>
  <c r="L68" i="2" s="1"/>
  <c r="L48" i="2"/>
  <c r="L69" i="2" s="1"/>
  <c r="L49" i="2"/>
  <c r="L70" i="2" s="1"/>
  <c r="L50" i="2"/>
  <c r="L71" i="2" s="1"/>
  <c r="L51" i="2"/>
  <c r="L72" i="2" s="1"/>
  <c r="L52" i="2"/>
  <c r="L73" i="2" s="1"/>
  <c r="L53" i="2"/>
  <c r="L74" i="2" s="1"/>
  <c r="M35" i="2"/>
  <c r="M56" i="2" s="1"/>
  <c r="M36" i="2"/>
  <c r="M57" i="2" s="1"/>
  <c r="M37" i="2"/>
  <c r="M58" i="2" s="1"/>
  <c r="M38" i="2"/>
  <c r="M59" i="2" s="1"/>
  <c r="M39" i="2"/>
  <c r="M60" i="2" s="1"/>
  <c r="M40" i="2"/>
  <c r="M61" i="2" s="1"/>
  <c r="M41" i="2"/>
  <c r="M62" i="2" s="1"/>
  <c r="M42" i="2"/>
  <c r="M63" i="2" s="1"/>
  <c r="M43" i="2"/>
  <c r="M64" i="2" s="1"/>
  <c r="M44" i="2"/>
  <c r="M65" i="2" s="1"/>
  <c r="M45" i="2"/>
  <c r="M66" i="2" s="1"/>
  <c r="M46" i="2"/>
  <c r="M67" i="2" s="1"/>
  <c r="M47" i="2"/>
  <c r="M68" i="2" s="1"/>
  <c r="M48" i="2"/>
  <c r="M69" i="2" s="1"/>
  <c r="M49" i="2"/>
  <c r="M70" i="2" s="1"/>
  <c r="M50" i="2"/>
  <c r="M71" i="2" s="1"/>
  <c r="M51" i="2"/>
  <c r="M72" i="2" s="1"/>
  <c r="M52" i="2"/>
  <c r="M73" i="2" s="1"/>
  <c r="M53" i="2"/>
  <c r="M74" i="2" s="1"/>
  <c r="N35" i="2"/>
  <c r="N56" i="2" s="1"/>
  <c r="N36" i="2"/>
  <c r="N57" i="2" s="1"/>
  <c r="N37" i="2"/>
  <c r="N58" i="2" s="1"/>
  <c r="N38" i="2"/>
  <c r="N59" i="2" s="1"/>
  <c r="N39" i="2"/>
  <c r="N60" i="2" s="1"/>
  <c r="N40" i="2"/>
  <c r="N61" i="2" s="1"/>
  <c r="N41" i="2"/>
  <c r="N62" i="2" s="1"/>
  <c r="N42" i="2"/>
  <c r="N63" i="2" s="1"/>
  <c r="N43" i="2"/>
  <c r="N64" i="2" s="1"/>
  <c r="N44" i="2"/>
  <c r="N65" i="2" s="1"/>
  <c r="N45" i="2"/>
  <c r="N66" i="2" s="1"/>
  <c r="N46" i="2"/>
  <c r="N67" i="2" s="1"/>
  <c r="N47" i="2"/>
  <c r="N68" i="2" s="1"/>
  <c r="N48" i="2"/>
  <c r="N69" i="2" s="1"/>
  <c r="N49" i="2"/>
  <c r="N70" i="2" s="1"/>
  <c r="N50" i="2"/>
  <c r="N71" i="2" s="1"/>
  <c r="N51" i="2"/>
  <c r="N72" i="2" s="1"/>
  <c r="N52" i="2"/>
  <c r="N73" i="2" s="1"/>
  <c r="N53" i="2"/>
  <c r="N74" i="2" s="1"/>
  <c r="O35" i="2"/>
  <c r="O56" i="2" s="1"/>
  <c r="O36" i="2"/>
  <c r="O57" i="2" s="1"/>
  <c r="O37" i="2"/>
  <c r="O58" i="2" s="1"/>
  <c r="O38" i="2"/>
  <c r="O59" i="2" s="1"/>
  <c r="O39" i="2"/>
  <c r="O60" i="2" s="1"/>
  <c r="O40" i="2"/>
  <c r="O61" i="2" s="1"/>
  <c r="O41" i="2"/>
  <c r="O62" i="2" s="1"/>
  <c r="O42" i="2"/>
  <c r="O63" i="2" s="1"/>
  <c r="O43" i="2"/>
  <c r="O64" i="2" s="1"/>
  <c r="O44" i="2"/>
  <c r="O65" i="2" s="1"/>
  <c r="O45" i="2"/>
  <c r="O66" i="2" s="1"/>
  <c r="O46" i="2"/>
  <c r="O67" i="2" s="1"/>
  <c r="O47" i="2"/>
  <c r="O68" i="2" s="1"/>
  <c r="O48" i="2"/>
  <c r="O69" i="2" s="1"/>
  <c r="O49" i="2"/>
  <c r="O70" i="2" s="1"/>
  <c r="O50" i="2"/>
  <c r="O71" i="2" s="1"/>
  <c r="O51" i="2"/>
  <c r="O72" i="2" s="1"/>
  <c r="O52" i="2"/>
  <c r="O73" i="2" s="1"/>
  <c r="O53" i="2"/>
  <c r="O74" i="2" s="1"/>
  <c r="P35" i="2"/>
  <c r="P56" i="2" s="1"/>
  <c r="P36" i="2"/>
  <c r="P57" i="2" s="1"/>
  <c r="P37" i="2"/>
  <c r="P58" i="2" s="1"/>
  <c r="P38" i="2"/>
  <c r="P59" i="2" s="1"/>
  <c r="P39" i="2"/>
  <c r="P60" i="2" s="1"/>
  <c r="P40" i="2"/>
  <c r="P61" i="2" s="1"/>
  <c r="P41" i="2"/>
  <c r="P62" i="2" s="1"/>
  <c r="P42" i="2"/>
  <c r="P63" i="2" s="1"/>
  <c r="P43" i="2"/>
  <c r="P64" i="2" s="1"/>
  <c r="P44" i="2"/>
  <c r="P65" i="2" s="1"/>
  <c r="P45" i="2"/>
  <c r="P66" i="2" s="1"/>
  <c r="P46" i="2"/>
  <c r="P67" i="2" s="1"/>
  <c r="P47" i="2"/>
  <c r="P68" i="2" s="1"/>
  <c r="P48" i="2"/>
  <c r="P69" i="2" s="1"/>
  <c r="P49" i="2"/>
  <c r="P70" i="2" s="1"/>
  <c r="P50" i="2"/>
  <c r="P71" i="2" s="1"/>
  <c r="P51" i="2"/>
  <c r="P72" i="2" s="1"/>
  <c r="P52" i="2"/>
  <c r="P73" i="2" s="1"/>
  <c r="P53" i="2"/>
  <c r="P74" i="2" s="1"/>
  <c r="Q35" i="2"/>
  <c r="Q56" i="2" s="1"/>
  <c r="Q36" i="2"/>
  <c r="Q57" i="2" s="1"/>
  <c r="Q37" i="2"/>
  <c r="Q58" i="2" s="1"/>
  <c r="Q38" i="2"/>
  <c r="Q59" i="2" s="1"/>
  <c r="Q39" i="2"/>
  <c r="Q60" i="2" s="1"/>
  <c r="Q40" i="2"/>
  <c r="Q61" i="2" s="1"/>
  <c r="Q41" i="2"/>
  <c r="Q62" i="2" s="1"/>
  <c r="Q42" i="2"/>
  <c r="Q63" i="2" s="1"/>
  <c r="Q43" i="2"/>
  <c r="Q64" i="2" s="1"/>
  <c r="Q44" i="2"/>
  <c r="Q65" i="2" s="1"/>
  <c r="Q45" i="2"/>
  <c r="Q66" i="2" s="1"/>
  <c r="Q46" i="2"/>
  <c r="Q67" i="2" s="1"/>
  <c r="Q47" i="2"/>
  <c r="Q68" i="2" s="1"/>
  <c r="Q48" i="2"/>
  <c r="Q69" i="2" s="1"/>
  <c r="Q49" i="2"/>
  <c r="Q70" i="2" s="1"/>
  <c r="Q50" i="2"/>
  <c r="Q71" i="2" s="1"/>
  <c r="Q51" i="2"/>
  <c r="Q72" i="2" s="1"/>
  <c r="Q52" i="2"/>
  <c r="Q73" i="2" s="1"/>
  <c r="Q53" i="2"/>
  <c r="Q74" i="2" s="1"/>
  <c r="D35" i="2"/>
  <c r="D56" i="2" s="1"/>
  <c r="D36" i="2"/>
  <c r="D57" i="2" s="1"/>
  <c r="D37" i="2"/>
  <c r="D58" i="2" s="1"/>
  <c r="D38" i="2"/>
  <c r="D59" i="2" s="1"/>
  <c r="D39" i="2"/>
  <c r="D60" i="2" s="1"/>
  <c r="D40" i="2"/>
  <c r="D61" i="2" s="1"/>
  <c r="D41" i="2"/>
  <c r="D62" i="2" s="1"/>
  <c r="D42" i="2"/>
  <c r="D63" i="2" s="1"/>
  <c r="D43" i="2"/>
  <c r="D64" i="2" s="1"/>
  <c r="D44" i="2"/>
  <c r="D65" i="2" s="1"/>
  <c r="D45" i="2"/>
  <c r="D66" i="2" s="1"/>
  <c r="D46" i="2"/>
  <c r="D67" i="2" s="1"/>
  <c r="D47" i="2"/>
  <c r="D68" i="2" s="1"/>
  <c r="D48" i="2"/>
  <c r="D69" i="2" s="1"/>
  <c r="D49" i="2"/>
  <c r="D70" i="2" s="1"/>
  <c r="D50" i="2"/>
  <c r="D71" i="2" s="1"/>
  <c r="D51" i="2"/>
  <c r="D72" i="2" s="1"/>
  <c r="D52" i="2"/>
  <c r="D73" i="2" s="1"/>
  <c r="D53" i="2"/>
  <c r="D74" i="2" s="1"/>
  <c r="V231" i="1"/>
  <c r="V232" i="1"/>
  <c r="C231" i="1"/>
  <c r="C232" i="1"/>
  <c r="I232" i="1"/>
  <c r="I231" i="1"/>
  <c r="I233" i="1" s="1"/>
  <c r="J231" i="1"/>
  <c r="J232" i="1"/>
  <c r="K232" i="1"/>
  <c r="K231" i="1"/>
  <c r="L231" i="1"/>
  <c r="L232" i="1"/>
  <c r="M232" i="1"/>
  <c r="M231" i="1"/>
  <c r="M233" i="1" s="1"/>
  <c r="N231" i="1"/>
  <c r="N232" i="1"/>
  <c r="O232" i="1"/>
  <c r="O231" i="1"/>
  <c r="P231" i="1"/>
  <c r="P232" i="1"/>
  <c r="Q232" i="1"/>
  <c r="Q231" i="1"/>
  <c r="R231" i="1"/>
  <c r="R232" i="1"/>
  <c r="S231" i="1"/>
  <c r="S232" i="1"/>
  <c r="T231" i="1"/>
  <c r="T232" i="1"/>
  <c r="U231" i="1"/>
  <c r="U232" i="1"/>
  <c r="Y231" i="1"/>
  <c r="Y232" i="1"/>
  <c r="W231" i="1"/>
  <c r="W232" i="1"/>
  <c r="X231" i="1"/>
  <c r="X232" i="1"/>
  <c r="AB231" i="1"/>
  <c r="AB232" i="1"/>
  <c r="AD231" i="1"/>
  <c r="AD232" i="1"/>
  <c r="AE231" i="1"/>
  <c r="AE232" i="1"/>
  <c r="H231" i="1"/>
  <c r="H232" i="1"/>
  <c r="G232" i="1"/>
  <c r="G231" i="1"/>
  <c r="G233" i="1" s="1"/>
  <c r="F231" i="1"/>
  <c r="F232" i="1"/>
  <c r="E232" i="1"/>
  <c r="E231" i="1"/>
  <c r="E233" i="1" s="1"/>
  <c r="D231" i="1"/>
  <c r="D232" i="1"/>
  <c r="AF232" i="1"/>
  <c r="AF231" i="1"/>
  <c r="AF233" i="1" s="1"/>
  <c r="AG231" i="1"/>
  <c r="AG232" i="1"/>
  <c r="AH231" i="1"/>
  <c r="AH232" i="1"/>
  <c r="AI231" i="1"/>
  <c r="AI232" i="1"/>
  <c r="AC231" i="1"/>
  <c r="AC232" i="1"/>
  <c r="AA231" i="1"/>
  <c r="AA232" i="1"/>
  <c r="Z231" i="1"/>
  <c r="Z232" i="1"/>
  <c r="E190" i="1"/>
  <c r="E191" i="1" s="1"/>
  <c r="E193" i="1" s="1"/>
  <c r="E192" i="1"/>
  <c r="E194" i="1"/>
  <c r="E195" i="1"/>
  <c r="E196" i="1"/>
  <c r="AB190" i="1"/>
  <c r="AB191" i="1" s="1"/>
  <c r="AB193" i="1" s="1"/>
  <c r="AB192" i="1"/>
  <c r="AB194" i="1"/>
  <c r="AB195" i="1"/>
  <c r="AB196" i="1"/>
  <c r="F190" i="1"/>
  <c r="F191" i="1" s="1"/>
  <c r="F193" i="1" s="1"/>
  <c r="F192" i="1"/>
  <c r="F194" i="1"/>
  <c r="F195" i="1"/>
  <c r="F196" i="1"/>
  <c r="G190" i="1"/>
  <c r="G191" i="1" s="1"/>
  <c r="G193" i="1" s="1"/>
  <c r="G192" i="1"/>
  <c r="G194" i="1"/>
  <c r="G195" i="1"/>
  <c r="G196" i="1"/>
  <c r="D190" i="1"/>
  <c r="D191" i="1" s="1"/>
  <c r="D193" i="1" s="1"/>
  <c r="D192" i="1"/>
  <c r="D194" i="1"/>
  <c r="D195" i="1"/>
  <c r="D196" i="1"/>
  <c r="C190" i="1"/>
  <c r="C191" i="1" s="1"/>
  <c r="C193" i="1" s="1"/>
  <c r="C192" i="1"/>
  <c r="C194" i="1"/>
  <c r="C195" i="1"/>
  <c r="C196" i="1"/>
  <c r="C197" i="1" a="1"/>
  <c r="AI190" i="1"/>
  <c r="AI191" i="1" s="1"/>
  <c r="AI193" i="1" s="1"/>
  <c r="AI192" i="1"/>
  <c r="AI194" i="1"/>
  <c r="AI195" i="1"/>
  <c r="AI196" i="1"/>
  <c r="AH190" i="1"/>
  <c r="AH191" i="1" s="1"/>
  <c r="AH193" i="1" s="1"/>
  <c r="AH192" i="1"/>
  <c r="AH194" i="1"/>
  <c r="AH195" i="1"/>
  <c r="AH196" i="1"/>
  <c r="AG190" i="1"/>
  <c r="AG191" i="1" s="1"/>
  <c r="AG193" i="1" s="1"/>
  <c r="AG192" i="1"/>
  <c r="AG194" i="1"/>
  <c r="AG195" i="1"/>
  <c r="AG196" i="1"/>
  <c r="AF190" i="1"/>
  <c r="AF191" i="1" s="1"/>
  <c r="AF193" i="1" s="1"/>
  <c r="AF192" i="1"/>
  <c r="AF194" i="1"/>
  <c r="AF195" i="1"/>
  <c r="AF196" i="1"/>
  <c r="H190" i="1"/>
  <c r="H191" i="1" s="1"/>
  <c r="H193" i="1" s="1"/>
  <c r="H192" i="1"/>
  <c r="H194" i="1"/>
  <c r="H195" i="1"/>
  <c r="H196" i="1"/>
  <c r="AE190" i="1"/>
  <c r="AE191" i="1" s="1"/>
  <c r="AE193" i="1" s="1"/>
  <c r="AE192" i="1"/>
  <c r="AE194" i="1"/>
  <c r="AE195" i="1"/>
  <c r="AE196" i="1"/>
  <c r="AD190" i="1"/>
  <c r="AD191" i="1" s="1"/>
  <c r="AD193" i="1" s="1"/>
  <c r="AD192" i="1"/>
  <c r="AD194" i="1"/>
  <c r="AD195" i="1"/>
  <c r="AD196" i="1"/>
  <c r="I190" i="1"/>
  <c r="I191" i="1" s="1"/>
  <c r="I193" i="1" s="1"/>
  <c r="I192" i="1"/>
  <c r="I194" i="1"/>
  <c r="I195" i="1"/>
  <c r="I196" i="1"/>
  <c r="J190" i="1"/>
  <c r="J191" i="1" s="1"/>
  <c r="J193" i="1" s="1"/>
  <c r="J192" i="1"/>
  <c r="J194" i="1"/>
  <c r="J195" i="1"/>
  <c r="J196" i="1"/>
  <c r="K190" i="1"/>
  <c r="K191" i="1" s="1"/>
  <c r="K193" i="1" s="1"/>
  <c r="K192" i="1"/>
  <c r="K194" i="1"/>
  <c r="K195" i="1"/>
  <c r="K196" i="1"/>
  <c r="L190" i="1"/>
  <c r="L191" i="1" s="1"/>
  <c r="L193" i="1" s="1"/>
  <c r="L192" i="1"/>
  <c r="L194" i="1"/>
  <c r="L195" i="1"/>
  <c r="L196" i="1"/>
  <c r="M190" i="1"/>
  <c r="M191" i="1" s="1"/>
  <c r="M193" i="1" s="1"/>
  <c r="M192" i="1"/>
  <c r="M194" i="1"/>
  <c r="M195" i="1"/>
  <c r="M196" i="1"/>
  <c r="N190" i="1"/>
  <c r="N191" i="1" s="1"/>
  <c r="N193" i="1" s="1"/>
  <c r="N192" i="1"/>
  <c r="N194" i="1"/>
  <c r="N195" i="1"/>
  <c r="N196" i="1"/>
  <c r="O190" i="1"/>
  <c r="O191" i="1" s="1"/>
  <c r="O193" i="1" s="1"/>
  <c r="O192" i="1"/>
  <c r="O194" i="1"/>
  <c r="O195" i="1"/>
  <c r="O196" i="1"/>
  <c r="P190" i="1"/>
  <c r="P191" i="1" s="1"/>
  <c r="P193" i="1" s="1"/>
  <c r="P192" i="1"/>
  <c r="P194" i="1"/>
  <c r="P195" i="1"/>
  <c r="P196" i="1"/>
  <c r="Q190" i="1"/>
  <c r="Q191" i="1" s="1"/>
  <c r="Q193" i="1" s="1"/>
  <c r="Q192" i="1"/>
  <c r="Q194" i="1"/>
  <c r="Q195" i="1"/>
  <c r="Q196" i="1"/>
  <c r="R190" i="1"/>
  <c r="R191" i="1" s="1"/>
  <c r="R193" i="1" s="1"/>
  <c r="R192" i="1"/>
  <c r="R194" i="1"/>
  <c r="R195" i="1"/>
  <c r="R196" i="1"/>
  <c r="S190" i="1"/>
  <c r="S191" i="1" s="1"/>
  <c r="S193" i="1" s="1"/>
  <c r="S192" i="1"/>
  <c r="S194" i="1"/>
  <c r="S195" i="1"/>
  <c r="S196" i="1"/>
  <c r="T190" i="1"/>
  <c r="T191" i="1" s="1"/>
  <c r="T193" i="1" s="1"/>
  <c r="T192" i="1"/>
  <c r="T194" i="1"/>
  <c r="T195" i="1"/>
  <c r="T196" i="1"/>
  <c r="U190" i="1"/>
  <c r="U191" i="1" s="1"/>
  <c r="U193" i="1" s="1"/>
  <c r="U192" i="1"/>
  <c r="U194" i="1"/>
  <c r="U195" i="1"/>
  <c r="U196" i="1"/>
  <c r="V190" i="1"/>
  <c r="V191" i="1" s="1"/>
  <c r="V193" i="1" s="1"/>
  <c r="V192" i="1"/>
  <c r="V194" i="1"/>
  <c r="V195" i="1"/>
  <c r="V196" i="1"/>
  <c r="W190" i="1"/>
  <c r="W191" i="1" s="1"/>
  <c r="W193" i="1" s="1"/>
  <c r="W192" i="1"/>
  <c r="W194" i="1"/>
  <c r="W195" i="1"/>
  <c r="W196" i="1"/>
  <c r="X190" i="1"/>
  <c r="X191" i="1" s="1"/>
  <c r="X193" i="1" s="1"/>
  <c r="X192" i="1"/>
  <c r="X194" i="1"/>
  <c r="X195" i="1"/>
  <c r="X196" i="1"/>
  <c r="Y190" i="1"/>
  <c r="Y191" i="1" s="1"/>
  <c r="Y193" i="1" s="1"/>
  <c r="Y192" i="1"/>
  <c r="Y194" i="1"/>
  <c r="Y195" i="1"/>
  <c r="Y196" i="1"/>
  <c r="Z190" i="1"/>
  <c r="Z191" i="1" s="1"/>
  <c r="Z193" i="1" s="1"/>
  <c r="Z192" i="1"/>
  <c r="Z194" i="1"/>
  <c r="Z195" i="1"/>
  <c r="Z196" i="1"/>
  <c r="AA190" i="1"/>
  <c r="AA191" i="1" s="1"/>
  <c r="AA193" i="1" s="1"/>
  <c r="AA192" i="1"/>
  <c r="AA194" i="1"/>
  <c r="AA195" i="1"/>
  <c r="AA196" i="1"/>
  <c r="AC190" i="1"/>
  <c r="AC191" i="1" s="1"/>
  <c r="AC193" i="1" s="1"/>
  <c r="AC192" i="1"/>
  <c r="AC194" i="1"/>
  <c r="AC195" i="1"/>
  <c r="AC196" i="1"/>
  <c r="P157" i="1"/>
  <c r="P158" i="1"/>
  <c r="C158" i="1"/>
  <c r="C157" i="1"/>
  <c r="F157" i="1"/>
  <c r="F158" i="1"/>
  <c r="H157" i="1"/>
  <c r="H158" i="1"/>
  <c r="I158" i="1"/>
  <c r="I157" i="1"/>
  <c r="J157" i="1"/>
  <c r="J158" i="1"/>
  <c r="K158" i="1"/>
  <c r="K157" i="1"/>
  <c r="Q158" i="1"/>
  <c r="Q157" i="1"/>
  <c r="R157" i="1"/>
  <c r="R158" i="1"/>
  <c r="S158" i="1"/>
  <c r="S157" i="1"/>
  <c r="T157" i="1"/>
  <c r="T158" i="1"/>
  <c r="U158" i="1"/>
  <c r="U157" i="1"/>
  <c r="V157" i="1"/>
  <c r="V158" i="1"/>
  <c r="L157" i="1"/>
  <c r="L158" i="1"/>
  <c r="E157" i="1"/>
  <c r="E158" i="1"/>
  <c r="M158" i="1"/>
  <c r="M157" i="1"/>
  <c r="D157" i="1"/>
  <c r="D158" i="1"/>
  <c r="N157" i="1"/>
  <c r="N158" i="1"/>
  <c r="O158" i="1"/>
  <c r="O157" i="1"/>
  <c r="G158" i="1"/>
  <c r="G157" i="1"/>
  <c r="I35" i="1"/>
  <c r="I36" i="1"/>
  <c r="I39" i="1"/>
  <c r="I40" i="1"/>
  <c r="I41" i="1"/>
  <c r="I42" i="1"/>
  <c r="I45" i="1"/>
  <c r="I46" i="1"/>
  <c r="I47" i="1"/>
  <c r="I48" i="1"/>
  <c r="I50" i="1"/>
  <c r="I51" i="1"/>
  <c r="I52" i="1"/>
  <c r="I37" i="1"/>
  <c r="I38" i="1"/>
  <c r="I43" i="1"/>
  <c r="I44" i="1"/>
  <c r="I49" i="1"/>
  <c r="I53" i="1"/>
  <c r="V38" i="1"/>
  <c r="V40" i="1"/>
  <c r="V41" i="1"/>
  <c r="V47" i="1"/>
  <c r="V49" i="1"/>
  <c r="V51" i="1"/>
  <c r="V35" i="1"/>
  <c r="V36" i="1"/>
  <c r="V37" i="1"/>
  <c r="V39" i="1"/>
  <c r="V42" i="1"/>
  <c r="V43" i="1"/>
  <c r="V44" i="1"/>
  <c r="V45" i="1"/>
  <c r="V46" i="1"/>
  <c r="V48" i="1"/>
  <c r="V50" i="1"/>
  <c r="V52" i="1"/>
  <c r="V53" i="1"/>
  <c r="U35" i="1"/>
  <c r="U39" i="1"/>
  <c r="U40" i="1"/>
  <c r="U41" i="1"/>
  <c r="U45" i="1"/>
  <c r="U48" i="1"/>
  <c r="U50" i="1"/>
  <c r="U36" i="1"/>
  <c r="U37" i="1"/>
  <c r="U38" i="1"/>
  <c r="U42" i="1"/>
  <c r="U43" i="1"/>
  <c r="U44" i="1"/>
  <c r="U46" i="1"/>
  <c r="U47" i="1"/>
  <c r="U49" i="1"/>
  <c r="U51" i="1"/>
  <c r="U52" i="1"/>
  <c r="U53" i="1"/>
  <c r="S36" i="1"/>
  <c r="S37" i="1"/>
  <c r="S39" i="1"/>
  <c r="S40" i="1"/>
  <c r="S41" i="1"/>
  <c r="S45" i="1"/>
  <c r="S48" i="1"/>
  <c r="S50" i="1"/>
  <c r="S52" i="1"/>
  <c r="S35" i="1"/>
  <c r="S38" i="1"/>
  <c r="S42" i="1"/>
  <c r="S43" i="1"/>
  <c r="S44" i="1"/>
  <c r="S46" i="1"/>
  <c r="S47" i="1"/>
  <c r="S49" i="1"/>
  <c r="S51" i="1"/>
  <c r="S53" i="1"/>
  <c r="H35" i="1"/>
  <c r="H37" i="1"/>
  <c r="H38" i="1"/>
  <c r="H40" i="1"/>
  <c r="H41" i="1"/>
  <c r="H42" i="1"/>
  <c r="H49" i="1"/>
  <c r="H53" i="1"/>
  <c r="H36" i="1"/>
  <c r="H39" i="1"/>
  <c r="H43" i="1"/>
  <c r="H44" i="1"/>
  <c r="H45" i="1"/>
  <c r="H46" i="1"/>
  <c r="H47" i="1"/>
  <c r="H48" i="1"/>
  <c r="H50" i="1"/>
  <c r="H51" i="1"/>
  <c r="H52" i="1"/>
  <c r="G36" i="1"/>
  <c r="G40" i="1"/>
  <c r="G41" i="1"/>
  <c r="G42" i="1"/>
  <c r="G45" i="1"/>
  <c r="G46" i="1"/>
  <c r="G47" i="1"/>
  <c r="G48" i="1"/>
  <c r="G50" i="1"/>
  <c r="G52" i="1"/>
  <c r="G35" i="1"/>
  <c r="G37" i="1"/>
  <c r="G38" i="1"/>
  <c r="G39" i="1"/>
  <c r="G43" i="1"/>
  <c r="G44" i="1"/>
  <c r="G49" i="1"/>
  <c r="G51" i="1"/>
  <c r="G53" i="1"/>
  <c r="F35" i="1"/>
  <c r="F37" i="1"/>
  <c r="F38" i="1"/>
  <c r="F39" i="1"/>
  <c r="F40" i="1"/>
  <c r="F41" i="1"/>
  <c r="F42" i="1"/>
  <c r="F46" i="1"/>
  <c r="F49" i="1"/>
  <c r="F51" i="1"/>
  <c r="F36" i="1"/>
  <c r="F43" i="1"/>
  <c r="F44" i="1"/>
  <c r="F45" i="1"/>
  <c r="F47" i="1"/>
  <c r="F48" i="1"/>
  <c r="F50" i="1"/>
  <c r="F52" i="1"/>
  <c r="F53" i="1"/>
  <c r="E35" i="1"/>
  <c r="E36" i="1"/>
  <c r="E37" i="1"/>
  <c r="E41" i="1"/>
  <c r="E42" i="1"/>
  <c r="E47" i="1"/>
  <c r="E48" i="1"/>
  <c r="E50" i="1"/>
  <c r="E52" i="1"/>
  <c r="E38" i="1"/>
  <c r="E39" i="1"/>
  <c r="E40" i="1"/>
  <c r="E43" i="1"/>
  <c r="E44" i="1"/>
  <c r="E45" i="1"/>
  <c r="E46" i="1"/>
  <c r="E49" i="1"/>
  <c r="E51" i="1"/>
  <c r="E53" i="1"/>
  <c r="J37" i="1"/>
  <c r="J38" i="1"/>
  <c r="J40" i="1"/>
  <c r="J41" i="1"/>
  <c r="J42" i="1"/>
  <c r="J49" i="1"/>
  <c r="J52" i="1"/>
  <c r="J53" i="1"/>
  <c r="J35" i="1"/>
  <c r="J36" i="1"/>
  <c r="J39" i="1"/>
  <c r="J43" i="1"/>
  <c r="J44" i="1"/>
  <c r="J45" i="1"/>
  <c r="J46" i="1"/>
  <c r="J47" i="1"/>
  <c r="J48" i="1"/>
  <c r="J50" i="1"/>
  <c r="J51" i="1"/>
  <c r="K35" i="1"/>
  <c r="K36" i="1"/>
  <c r="K39" i="1"/>
  <c r="K40" i="1"/>
  <c r="K41" i="1"/>
  <c r="K42" i="1"/>
  <c r="K45" i="1"/>
  <c r="K47" i="1"/>
  <c r="K48" i="1"/>
  <c r="K51" i="1"/>
  <c r="K37" i="1"/>
  <c r="K38" i="1"/>
  <c r="K43" i="1"/>
  <c r="K44" i="1"/>
  <c r="K46" i="1"/>
  <c r="K49" i="1"/>
  <c r="K50" i="1"/>
  <c r="K52" i="1"/>
  <c r="K53" i="1"/>
  <c r="L35" i="1"/>
  <c r="L38" i="1"/>
  <c r="L40" i="1"/>
  <c r="L41" i="1"/>
  <c r="L42" i="1"/>
  <c r="L49" i="1"/>
  <c r="L51" i="1"/>
  <c r="L52" i="1"/>
  <c r="L53" i="1"/>
  <c r="L36" i="1"/>
  <c r="L37" i="1"/>
  <c r="L39" i="1"/>
  <c r="L43" i="1"/>
  <c r="L44" i="1"/>
  <c r="L45" i="1"/>
  <c r="L46" i="1"/>
  <c r="L47" i="1"/>
  <c r="L48" i="1"/>
  <c r="L50" i="1"/>
  <c r="M37" i="1"/>
  <c r="M39" i="1"/>
  <c r="M40" i="1"/>
  <c r="M41" i="1"/>
  <c r="M45" i="1"/>
  <c r="M46" i="1"/>
  <c r="M47" i="1"/>
  <c r="M48" i="1"/>
  <c r="M50" i="1"/>
  <c r="M52" i="1"/>
  <c r="M35" i="1"/>
  <c r="M36" i="1"/>
  <c r="M38" i="1"/>
  <c r="M42" i="1"/>
  <c r="M43" i="1"/>
  <c r="M44" i="1"/>
  <c r="M49" i="1"/>
  <c r="M51" i="1"/>
  <c r="M53" i="1"/>
  <c r="N35" i="1"/>
  <c r="N38" i="1"/>
  <c r="N40" i="1"/>
  <c r="N41" i="1"/>
  <c r="N49" i="1"/>
  <c r="N51" i="1"/>
  <c r="N36" i="1"/>
  <c r="N37" i="1"/>
  <c r="N39" i="1"/>
  <c r="N42" i="1"/>
  <c r="N43" i="1"/>
  <c r="N44" i="1"/>
  <c r="N45" i="1"/>
  <c r="N46" i="1"/>
  <c r="N47" i="1"/>
  <c r="N48" i="1"/>
  <c r="N50" i="1"/>
  <c r="N52" i="1"/>
  <c r="N53" i="1"/>
  <c r="O35" i="1"/>
  <c r="O36" i="1"/>
  <c r="O37" i="1"/>
  <c r="O39" i="1"/>
  <c r="O40" i="1"/>
  <c r="O41" i="1"/>
  <c r="O45" i="1"/>
  <c r="O47" i="1"/>
  <c r="O48" i="1"/>
  <c r="O50" i="1"/>
  <c r="O52" i="1"/>
  <c r="O38" i="1"/>
  <c r="O42" i="1"/>
  <c r="O43" i="1"/>
  <c r="O44" i="1"/>
  <c r="O46" i="1"/>
  <c r="O49" i="1"/>
  <c r="O51" i="1"/>
  <c r="O53" i="1"/>
  <c r="P38" i="1"/>
  <c r="P40" i="1"/>
  <c r="P41" i="1"/>
  <c r="P47" i="1"/>
  <c r="P49" i="1"/>
  <c r="P51" i="1"/>
  <c r="P35" i="1"/>
  <c r="P36" i="1"/>
  <c r="P37" i="1"/>
  <c r="P39" i="1"/>
  <c r="P42" i="1"/>
  <c r="P43" i="1"/>
  <c r="P44" i="1"/>
  <c r="P45" i="1"/>
  <c r="P46" i="1"/>
  <c r="P48" i="1"/>
  <c r="P50" i="1"/>
  <c r="P52" i="1"/>
  <c r="P53" i="1"/>
  <c r="Q35" i="1"/>
  <c r="Q36" i="1"/>
  <c r="Q37" i="1"/>
  <c r="Q39" i="1"/>
  <c r="Q40" i="1"/>
  <c r="Q41" i="1"/>
  <c r="Q45" i="1"/>
  <c r="Q46" i="1"/>
  <c r="Q48" i="1"/>
  <c r="Q52" i="1"/>
  <c r="Q38" i="1"/>
  <c r="Q42" i="1"/>
  <c r="Q43" i="1"/>
  <c r="Q44" i="1"/>
  <c r="Q47" i="1"/>
  <c r="Q49" i="1"/>
  <c r="Q50" i="1"/>
  <c r="Q51" i="1"/>
  <c r="Q53" i="1"/>
  <c r="R35" i="1"/>
  <c r="R38" i="1"/>
  <c r="R40" i="1"/>
  <c r="R41" i="1"/>
  <c r="R47" i="1"/>
  <c r="R49" i="1"/>
  <c r="R50" i="1"/>
  <c r="R51" i="1"/>
  <c r="R53" i="1"/>
  <c r="R36" i="1"/>
  <c r="R37" i="1"/>
  <c r="R39" i="1"/>
  <c r="R42" i="1"/>
  <c r="R43" i="1"/>
  <c r="R44" i="1"/>
  <c r="R45" i="1"/>
  <c r="R46" i="1"/>
  <c r="R48" i="1"/>
  <c r="R52" i="1"/>
  <c r="D36" i="1"/>
  <c r="D38" i="1"/>
  <c r="D39" i="1"/>
  <c r="D40" i="1"/>
  <c r="D41" i="1"/>
  <c r="D42" i="1"/>
  <c r="D46" i="1"/>
  <c r="D49" i="1"/>
  <c r="D53" i="1"/>
  <c r="D35" i="1"/>
  <c r="D37" i="1"/>
  <c r="D43" i="1"/>
  <c r="D44" i="1"/>
  <c r="D45" i="1"/>
  <c r="D47" i="1"/>
  <c r="D48" i="1"/>
  <c r="D50" i="1"/>
  <c r="D51" i="1"/>
  <c r="D52" i="1"/>
  <c r="T38" i="1"/>
  <c r="T40" i="1"/>
  <c r="T41" i="1"/>
  <c r="T46" i="1"/>
  <c r="T49" i="1"/>
  <c r="T51" i="1"/>
  <c r="T35" i="1"/>
  <c r="T36" i="1"/>
  <c r="T37" i="1"/>
  <c r="T39" i="1"/>
  <c r="T42" i="1"/>
  <c r="T43" i="1"/>
  <c r="T44" i="1"/>
  <c r="T45" i="1"/>
  <c r="T47" i="1"/>
  <c r="T48" i="1"/>
  <c r="T50" i="1"/>
  <c r="T52" i="1"/>
  <c r="T53" i="1"/>
  <c r="Q232" i="2" l="1"/>
  <c r="O233" i="1"/>
  <c r="K233" i="1"/>
  <c r="Q233" i="1"/>
  <c r="G232" i="2"/>
  <c r="E232" i="2"/>
  <c r="F232" i="2"/>
  <c r="H232" i="2"/>
  <c r="C232" i="2"/>
  <c r="AG232" i="2"/>
  <c r="AE232" i="2"/>
  <c r="AD232" i="2"/>
  <c r="Y232" i="2"/>
  <c r="U232" i="2"/>
  <c r="S232" i="2"/>
  <c r="R232" i="2"/>
  <c r="O232" i="2"/>
  <c r="K232" i="2"/>
  <c r="J232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C197" i="2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C197" i="1"/>
  <c r="AI232" i="2"/>
  <c r="AF232" i="2"/>
  <c r="AC232" i="2"/>
  <c r="AA232" i="2"/>
  <c r="V232" i="2"/>
  <c r="T232" i="2"/>
  <c r="N232" i="2"/>
  <c r="L232" i="2"/>
  <c r="D232" i="2"/>
  <c r="P232" i="2"/>
  <c r="V233" i="1"/>
  <c r="C233" i="1"/>
  <c r="J233" i="1"/>
  <c r="L233" i="1"/>
  <c r="N233" i="1"/>
  <c r="P233" i="1"/>
  <c r="R233" i="1"/>
  <c r="S233" i="1"/>
  <c r="T233" i="1"/>
  <c r="U233" i="1"/>
  <c r="Y233" i="1"/>
  <c r="W233" i="1"/>
  <c r="X233" i="1"/>
  <c r="AB233" i="1"/>
  <c r="AD233" i="1"/>
  <c r="AE233" i="1"/>
  <c r="H233" i="1"/>
  <c r="F233" i="1"/>
  <c r="D233" i="1"/>
  <c r="AG233" i="1"/>
  <c r="AH233" i="1"/>
  <c r="AI233" i="1"/>
  <c r="AC233" i="1"/>
  <c r="AA233" i="1"/>
  <c r="Z233" i="1"/>
  <c r="AH232" i="2"/>
  <c r="AB232" i="2"/>
  <c r="Z232" i="2"/>
  <c r="X232" i="2"/>
  <c r="W232" i="2"/>
  <c r="M232" i="2"/>
  <c r="I232" i="2"/>
  <c r="C4" i="1"/>
</calcChain>
</file>

<file path=xl/sharedStrings.xml><?xml version="1.0" encoding="utf-8"?>
<sst xmlns="http://schemas.openxmlformats.org/spreadsheetml/2006/main" count="84" uniqueCount="27">
  <si>
    <t>Activation function: ReLU, an example</t>
  </si>
  <si>
    <t>Input</t>
  </si>
  <si>
    <t>ReLU</t>
  </si>
  <si>
    <t>[FILL]</t>
  </si>
  <si>
    <t>Activation function: ReLU, 1D array/tensor</t>
  </si>
  <si>
    <t>Activation function: ReLU, chart</t>
  </si>
  <si>
    <t>Activation function: ReLU, 2D array/tensor</t>
  </si>
  <si>
    <t>Activation function: ReLU^2</t>
  </si>
  <si>
    <t>ReLU^2</t>
  </si>
  <si>
    <t>Activation function: Leaky ReLU</t>
  </si>
  <si>
    <t xml:space="preserve">Leaky alpha </t>
  </si>
  <si>
    <t>Leaky ReLU</t>
  </si>
  <si>
    <t>Activation function: GeLU</t>
  </si>
  <si>
    <t>GeLU</t>
  </si>
  <si>
    <t>Activation function: Tanh, Sigmoid, Swish, SwiGLU</t>
  </si>
  <si>
    <t>Tanh</t>
  </si>
  <si>
    <t>Sigmoid</t>
  </si>
  <si>
    <t>Swish</t>
  </si>
  <si>
    <t>SwiGLU(ish)</t>
  </si>
  <si>
    <t xml:space="preserve">[Exercise] Where do activation functions agree? </t>
  </si>
  <si>
    <t xml:space="preserve">Where do they diverge? </t>
  </si>
  <si>
    <t xml:space="preserve">Which is the most interesting quadrant here? </t>
  </si>
  <si>
    <t>Activation function: Combined ReLU</t>
  </si>
  <si>
    <t>ReLU(-x)</t>
  </si>
  <si>
    <t>ReLU+-ReLU</t>
  </si>
  <si>
    <t xml:space="preserve">[Exercise] why would combining activation functions be useful? </t>
  </si>
  <si>
    <t>Exercise: which is the most interesting quadrant?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</si>
</sst>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rgb="FFB7B7B7"/>
      <name val="Arial"/>
      <family val="2"/>
      <scheme val="minor"/>
    </font>
    <font>
      <i/>
      <sz val="10"/>
      <color rgb="FFCCCCCC"/>
      <name val="Arial"/>
      <family val="2"/>
      <scheme val="minor"/>
    </font>
    <font>
      <i/>
      <sz val="10"/>
      <color rgb="FFEFEFEF"/>
      <name val="Arial"/>
      <family val="2"/>
      <scheme val="minor"/>
    </font>
    <font>
      <sz val="10"/>
      <color rgb="FFEFEFEF"/>
      <name val="Arial"/>
      <family val="2"/>
      <scheme val="minor"/>
    </font>
    <font>
      <i/>
      <sz val="10"/>
      <color rgb="FFD9D9D9"/>
      <name val="Arial"/>
      <family val="2"/>
      <scheme val="minor"/>
    </font>
    <font>
      <sz val="10"/>
      <color rgb="FFD9D9D9"/>
      <name val="Arial"/>
      <family val="2"/>
      <scheme val="minor"/>
    </font>
    <font>
      <sz val="10"/>
      <color rgb="FFB7B7B7"/>
      <name val="Arial"/>
      <family val="2"/>
      <scheme val="minor"/>
    </font>
    <font>
      <sz val="10"/>
      <color rgb="FFCCCCCC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1" xfId="0" applyFont="1" applyBorder="1"/>
    <xf numFmtId="0" fontId="10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2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ReLU vs. Input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ReLU</c:v>
          </c:tx>
          <c:marker>
            <c:symbol val="none"/>
          </c:marker>
          <c:cat>
            <c:numRef>
              <c:f>'wo Answers'!$C$8:$V$8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'wo Answers'!$C$9:$V$9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5-AB48-A3C0-D146DC853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986583"/>
        <c:axId val="1366055815"/>
      </c:lineChart>
      <c:catAx>
        <c:axId val="798986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366055815"/>
        <c:crosses val="autoZero"/>
        <c:auto val="1"/>
        <c:lblAlgn val="ctr"/>
        <c:lblOffset val="100"/>
        <c:noMultiLvlLbl val="1"/>
      </c:catAx>
      <c:valAx>
        <c:axId val="1366055815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7989865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ReLU and ReLU^2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'wo Answers'!$B$94</c:f>
              <c:strCache>
                <c:ptCount val="1"/>
                <c:pt idx="0">
                  <c:v>ReLU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'wo Answers'!$C$93:$V$93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'wo Answers'!$C$94:$V$94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3-FD46-94F9-FBD75D961821}"/>
            </c:ext>
          </c:extLst>
        </c:ser>
        <c:ser>
          <c:idx val="1"/>
          <c:order val="1"/>
          <c:tx>
            <c:v>ReLU^2</c:v>
          </c:tx>
          <c:marker>
            <c:symbol val="none"/>
          </c:marker>
          <c:cat>
            <c:numRef>
              <c:f>'wo Answers'!$C$93:$V$93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'wo Answers'!$C$95:$V$95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1</c:v>
                </c:pt>
                <c:pt idx="13">
                  <c:v>2.25</c:v>
                </c:pt>
                <c:pt idx="14">
                  <c:v>4</c:v>
                </c:pt>
                <c:pt idx="15">
                  <c:v>6.25</c:v>
                </c:pt>
                <c:pt idx="16">
                  <c:v>9</c:v>
                </c:pt>
                <c:pt idx="17">
                  <c:v>12.25</c:v>
                </c:pt>
                <c:pt idx="18">
                  <c:v>16</c:v>
                </c:pt>
                <c:pt idx="19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E3-FD46-94F9-FBD75D961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958420"/>
        <c:axId val="1140584339"/>
      </c:lineChart>
      <c:catAx>
        <c:axId val="927958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140584339"/>
        <c:crosses val="autoZero"/>
        <c:auto val="1"/>
        <c:lblAlgn val="ctr"/>
        <c:lblOffset val="100"/>
        <c:noMultiLvlLbl val="1"/>
      </c:catAx>
      <c:valAx>
        <c:axId val="1140584339"/>
        <c:scaling>
          <c:orientation val="minMax"/>
          <c:min val="-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9279584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ReLU, ReLU^2 and Leaky ReLU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'wo Answers'!$B$124</c:f>
              <c:strCache>
                <c:ptCount val="1"/>
                <c:pt idx="0">
                  <c:v>ReLU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'wo Answers'!$C$123:$V$123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'wo Answers'!$C$124:$V$124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4-1B44-B09C-B1226380CF08}"/>
            </c:ext>
          </c:extLst>
        </c:ser>
        <c:ser>
          <c:idx val="1"/>
          <c:order val="1"/>
          <c:tx>
            <c:strRef>
              <c:f>'wo Answers'!$B$125</c:f>
              <c:strCache>
                <c:ptCount val="1"/>
                <c:pt idx="0">
                  <c:v>ReLU^2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'wo Answers'!$C$123:$V$123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'wo Answers'!$C$125:$V$125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1</c:v>
                </c:pt>
                <c:pt idx="13">
                  <c:v>2.25</c:v>
                </c:pt>
                <c:pt idx="14">
                  <c:v>4</c:v>
                </c:pt>
                <c:pt idx="15">
                  <c:v>6.25</c:v>
                </c:pt>
                <c:pt idx="16">
                  <c:v>9</c:v>
                </c:pt>
                <c:pt idx="17">
                  <c:v>12.25</c:v>
                </c:pt>
                <c:pt idx="18">
                  <c:v>16</c:v>
                </c:pt>
                <c:pt idx="19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4-1B44-B09C-B1226380CF08}"/>
            </c:ext>
          </c:extLst>
        </c:ser>
        <c:ser>
          <c:idx val="2"/>
          <c:order val="2"/>
          <c:tx>
            <c:v>Leaky ReLU</c:v>
          </c:tx>
          <c:marker>
            <c:symbol val="none"/>
          </c:marker>
          <c:cat>
            <c:numRef>
              <c:f>'wo Answers'!$C$123:$V$123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'wo Answers'!$C$126:$V$126</c:f>
              <c:numCache>
                <c:formatCode>General</c:formatCode>
                <c:ptCount val="20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-0.30000000000000004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74-1B44-B09C-B1226380C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104006"/>
        <c:axId val="8610286"/>
      </c:lineChart>
      <c:catAx>
        <c:axId val="1170104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8610286"/>
        <c:crosses val="autoZero"/>
        <c:auto val="1"/>
        <c:lblAlgn val="ctr"/>
        <c:lblOffset val="100"/>
        <c:noMultiLvlLbl val="1"/>
      </c:catAx>
      <c:valAx>
        <c:axId val="8610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170104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ReLU vs. GeLU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'wo Answers'!$B$157</c:f>
              <c:strCache>
                <c:ptCount val="1"/>
                <c:pt idx="0">
                  <c:v>ReLU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'wo Answers'!$C$156:$V$156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'wo Answers'!$C$157:$V$157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7-A042-95C0-92EB8E8CC56D}"/>
            </c:ext>
          </c:extLst>
        </c:ser>
        <c:ser>
          <c:idx val="1"/>
          <c:order val="1"/>
          <c:tx>
            <c:strRef>
              <c:f>'wo Answers'!$B$158</c:f>
              <c:strCache>
                <c:ptCount val="1"/>
                <c:pt idx="0">
                  <c:v>GeLU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'wo Answers'!$C$156:$V$156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'wo Answers'!$C$158:$V$158</c:f>
              <c:numCache>
                <c:formatCode>0.0</c:formatCode>
                <c:ptCount val="20"/>
                <c:pt idx="0">
                  <c:v>-2.2917961944868281E-7</c:v>
                </c:pt>
                <c:pt idx="1">
                  <c:v>-5.1367374121757958E-6</c:v>
                </c:pt>
                <c:pt idx="2">
                  <c:v>-7.0245948192271257E-5</c:v>
                </c:pt>
                <c:pt idx="3">
                  <c:v>-6.1619765537374027E-4</c:v>
                </c:pt>
                <c:pt idx="4">
                  <c:v>-3.6373920817728278E-3</c:v>
                </c:pt>
                <c:pt idx="5">
                  <c:v>-1.5084266089998577E-2</c:v>
                </c:pt>
                <c:pt idx="6">
                  <c:v>-4.5402305912224938E-2</c:v>
                </c:pt>
                <c:pt idx="7">
                  <c:v>-0.10042842301976715</c:v>
                </c:pt>
                <c:pt idx="8">
                  <c:v>-0.15880800939172324</c:v>
                </c:pt>
                <c:pt idx="9">
                  <c:v>-0.15428599017485609</c:v>
                </c:pt>
                <c:pt idx="10">
                  <c:v>0</c:v>
                </c:pt>
                <c:pt idx="11">
                  <c:v>0.34571400982514389</c:v>
                </c:pt>
                <c:pt idx="12">
                  <c:v>0.84119199060827676</c:v>
                </c:pt>
                <c:pt idx="13">
                  <c:v>1.3995715769802328</c:v>
                </c:pt>
                <c:pt idx="14">
                  <c:v>1.954597694087775</c:v>
                </c:pt>
                <c:pt idx="15">
                  <c:v>2.4849157339100012</c:v>
                </c:pt>
                <c:pt idx="16">
                  <c:v>2.9963626079182273</c:v>
                </c:pt>
                <c:pt idx="17">
                  <c:v>3.4993838023446262</c:v>
                </c:pt>
                <c:pt idx="18">
                  <c:v>3.9999297540518075</c:v>
                </c:pt>
                <c:pt idx="19">
                  <c:v>4.4999948632625877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7-A042-95C0-92EB8E8CC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521294"/>
        <c:axId val="983476451"/>
      </c:lineChart>
      <c:catAx>
        <c:axId val="1635521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983476451"/>
        <c:crosses val="autoZero"/>
        <c:auto val="1"/>
        <c:lblAlgn val="ctr"/>
        <c:lblOffset val="100"/>
        <c:noMultiLvlLbl val="1"/>
      </c:catAx>
      <c:valAx>
        <c:axId val="983476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6355212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'wo Answers'!$B$190</c:f>
              <c:strCache>
                <c:ptCount val="1"/>
                <c:pt idx="0">
                  <c:v>ReLU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'wo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'wo Answers'!$C$190:$AI$190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3-3F4C-A7AF-C44F09378D3D}"/>
            </c:ext>
          </c:extLst>
        </c:ser>
        <c:ser>
          <c:idx val="1"/>
          <c:order val="1"/>
          <c:tx>
            <c:strRef>
              <c:f>'wo Answers'!$B$191</c:f>
              <c:strCache>
                <c:ptCount val="1"/>
                <c:pt idx="0">
                  <c:v>ReLU^2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'wo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'wo Answers'!$C$191:$AI$191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6.25E-2</c:v>
                </c:pt>
                <c:pt idx="18">
                  <c:v>0.25</c:v>
                </c:pt>
                <c:pt idx="19">
                  <c:v>0.5625</c:v>
                </c:pt>
                <c:pt idx="20">
                  <c:v>1</c:v>
                </c:pt>
                <c:pt idx="21">
                  <c:v>1.5625</c:v>
                </c:pt>
                <c:pt idx="22">
                  <c:v>2.25</c:v>
                </c:pt>
                <c:pt idx="23">
                  <c:v>3.0625</c:v>
                </c:pt>
                <c:pt idx="24">
                  <c:v>4</c:v>
                </c:pt>
                <c:pt idx="25">
                  <c:v>5.0625</c:v>
                </c:pt>
                <c:pt idx="26">
                  <c:v>6.25</c:v>
                </c:pt>
                <c:pt idx="27">
                  <c:v>7.5625</c:v>
                </c:pt>
                <c:pt idx="28">
                  <c:v>9</c:v>
                </c:pt>
                <c:pt idx="29">
                  <c:v>10.5625</c:v>
                </c:pt>
                <c:pt idx="30">
                  <c:v>12.25</c:v>
                </c:pt>
                <c:pt idx="31">
                  <c:v>14.0625</c:v>
                </c:pt>
                <c:pt idx="3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83-3F4C-A7AF-C44F09378D3D}"/>
            </c:ext>
          </c:extLst>
        </c:ser>
        <c:ser>
          <c:idx val="2"/>
          <c:order val="2"/>
          <c:tx>
            <c:strRef>
              <c:f>'wo Answers'!$B$192</c:f>
              <c:strCache>
                <c:ptCount val="1"/>
                <c:pt idx="0">
                  <c:v>Leaky ReLU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'wo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'wo Answers'!$C$192:$AI$192</c:f>
              <c:numCache>
                <c:formatCode>General</c:formatCode>
                <c:ptCount val="33"/>
                <c:pt idx="0">
                  <c:v>-0.8</c:v>
                </c:pt>
                <c:pt idx="1">
                  <c:v>-0.75</c:v>
                </c:pt>
                <c:pt idx="2">
                  <c:v>-0.70000000000000007</c:v>
                </c:pt>
                <c:pt idx="3">
                  <c:v>-0.65</c:v>
                </c:pt>
                <c:pt idx="4">
                  <c:v>-0.60000000000000009</c:v>
                </c:pt>
                <c:pt idx="5">
                  <c:v>-0.55000000000000004</c:v>
                </c:pt>
                <c:pt idx="6">
                  <c:v>-0.5</c:v>
                </c:pt>
                <c:pt idx="7">
                  <c:v>-0.45</c:v>
                </c:pt>
                <c:pt idx="8">
                  <c:v>-0.4</c:v>
                </c:pt>
                <c:pt idx="9">
                  <c:v>-0.35000000000000003</c:v>
                </c:pt>
                <c:pt idx="10">
                  <c:v>-0.30000000000000004</c:v>
                </c:pt>
                <c:pt idx="11">
                  <c:v>-0.25</c:v>
                </c:pt>
                <c:pt idx="12">
                  <c:v>-0.2</c:v>
                </c:pt>
                <c:pt idx="13">
                  <c:v>-0.15000000000000002</c:v>
                </c:pt>
                <c:pt idx="14">
                  <c:v>-0.1</c:v>
                </c:pt>
                <c:pt idx="15">
                  <c:v>-0.05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83-3F4C-A7AF-C44F09378D3D}"/>
            </c:ext>
          </c:extLst>
        </c:ser>
        <c:ser>
          <c:idx val="3"/>
          <c:order val="3"/>
          <c:tx>
            <c:strRef>
              <c:f>'wo Answers'!$B$193</c:f>
              <c:strCache>
                <c:ptCount val="1"/>
                <c:pt idx="0">
                  <c:v>GeLU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'wo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'wo Answers'!$C$193:$AI$193</c:f>
              <c:numCache>
                <c:formatCode>0.0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3.2807349306281458E-2</c:v>
                </c:pt>
                <c:pt idx="18">
                  <c:v>0.149675350701685</c:v>
                </c:pt>
                <c:pt idx="19">
                  <c:v>0.40109939442952053</c:v>
                </c:pt>
                <c:pt idx="20">
                  <c:v>0.84119199060827676</c:v>
                </c:pt>
                <c:pt idx="21">
                  <c:v>1.4699806126108916</c:v>
                </c:pt>
                <c:pt idx="22">
                  <c:v>2.2227986701027111</c:v>
                </c:pt>
                <c:pt idx="23">
                  <c:v>3.0595273449625573</c:v>
                </c:pt>
                <c:pt idx="24">
                  <c:v>3.9999297540518075</c:v>
                </c:pt>
                <c:pt idx="25">
                  <c:v>5.0624998503171144</c:v>
                </c:pt>
                <c:pt idx="26">
                  <c:v>6.2499999999920801</c:v>
                </c:pt>
                <c:pt idx="27">
                  <c:v>7.5625</c:v>
                </c:pt>
                <c:pt idx="28">
                  <c:v>9</c:v>
                </c:pt>
                <c:pt idx="29">
                  <c:v>10.5625</c:v>
                </c:pt>
                <c:pt idx="30">
                  <c:v>12.25</c:v>
                </c:pt>
                <c:pt idx="31">
                  <c:v>14.0625</c:v>
                </c:pt>
                <c:pt idx="3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83-3F4C-A7AF-C44F09378D3D}"/>
            </c:ext>
          </c:extLst>
        </c:ser>
        <c:ser>
          <c:idx val="4"/>
          <c:order val="4"/>
          <c:tx>
            <c:strRef>
              <c:f>'wo Answers'!$B$194</c:f>
              <c:strCache>
                <c:ptCount val="1"/>
                <c:pt idx="0">
                  <c:v>Tanh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numRef>
              <c:f>'wo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'wo Answers'!$C$194:$AI$194</c:f>
              <c:numCache>
                <c:formatCode>0.0</c:formatCode>
                <c:ptCount val="33"/>
                <c:pt idx="0">
                  <c:v>-0.99932929973906692</c:v>
                </c:pt>
                <c:pt idx="1">
                  <c:v>-0.99889444272615269</c:v>
                </c:pt>
                <c:pt idx="2">
                  <c:v>-0.99817789761119868</c:v>
                </c:pt>
                <c:pt idx="3">
                  <c:v>-0.99699763548652609</c:v>
                </c:pt>
                <c:pt idx="4">
                  <c:v>-0.99505475368673058</c:v>
                </c:pt>
                <c:pt idx="5">
                  <c:v>-0.99185972456820781</c:v>
                </c:pt>
                <c:pt idx="6">
                  <c:v>-0.98661429815143042</c:v>
                </c:pt>
                <c:pt idx="7">
                  <c:v>-0.97802611473881362</c:v>
                </c:pt>
                <c:pt idx="8">
                  <c:v>-0.96402758007581701</c:v>
                </c:pt>
                <c:pt idx="9">
                  <c:v>-0.94137553849728728</c:v>
                </c:pt>
                <c:pt idx="10">
                  <c:v>-0.9051482536448664</c:v>
                </c:pt>
                <c:pt idx="11">
                  <c:v>-0.84828363995751288</c:v>
                </c:pt>
                <c:pt idx="12">
                  <c:v>-0.76159415595576485</c:v>
                </c:pt>
                <c:pt idx="13">
                  <c:v>-0.6351489523872873</c:v>
                </c:pt>
                <c:pt idx="14">
                  <c:v>-0.46211715726000979</c:v>
                </c:pt>
                <c:pt idx="15">
                  <c:v>-0.24491866240370913</c:v>
                </c:pt>
                <c:pt idx="16">
                  <c:v>0</c:v>
                </c:pt>
                <c:pt idx="17">
                  <c:v>0.24491866240370913</c:v>
                </c:pt>
                <c:pt idx="18">
                  <c:v>0.46211715726000979</c:v>
                </c:pt>
                <c:pt idx="19">
                  <c:v>0.6351489523872873</c:v>
                </c:pt>
                <c:pt idx="20">
                  <c:v>0.76159415595576485</c:v>
                </c:pt>
                <c:pt idx="21">
                  <c:v>0.84828363995751288</c:v>
                </c:pt>
                <c:pt idx="22">
                  <c:v>0.9051482536448664</c:v>
                </c:pt>
                <c:pt idx="23">
                  <c:v>0.94137553849728728</c:v>
                </c:pt>
                <c:pt idx="24">
                  <c:v>0.96402758007581701</c:v>
                </c:pt>
                <c:pt idx="25">
                  <c:v>0.97802611473881362</c:v>
                </c:pt>
                <c:pt idx="26">
                  <c:v>0.98661429815143042</c:v>
                </c:pt>
                <c:pt idx="27">
                  <c:v>0.99185972456820781</c:v>
                </c:pt>
                <c:pt idx="28">
                  <c:v>0.99505475368673058</c:v>
                </c:pt>
                <c:pt idx="29">
                  <c:v>0.99699763548652609</c:v>
                </c:pt>
                <c:pt idx="30">
                  <c:v>0.99817789761119868</c:v>
                </c:pt>
                <c:pt idx="31">
                  <c:v>0.99889444272615269</c:v>
                </c:pt>
                <c:pt idx="32">
                  <c:v>0.99932929973906692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83-3F4C-A7AF-C44F09378D3D}"/>
            </c:ext>
          </c:extLst>
        </c:ser>
        <c:ser>
          <c:idx val="5"/>
          <c:order val="5"/>
          <c:tx>
            <c:strRef>
              <c:f>'wo Answers'!$B$195</c:f>
              <c:strCache>
                <c:ptCount val="1"/>
                <c:pt idx="0">
                  <c:v>Sigmoid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numRef>
              <c:f>'wo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'wo Answers'!$C$195:$AI$195</c:f>
              <c:numCache>
                <c:formatCode>0.0</c:formatCode>
                <c:ptCount val="33"/>
                <c:pt idx="0">
                  <c:v>1.7986209962091559E-2</c:v>
                </c:pt>
                <c:pt idx="1">
                  <c:v>2.2977369910025615E-2</c:v>
                </c:pt>
                <c:pt idx="2">
                  <c:v>2.9312230751356319E-2</c:v>
                </c:pt>
                <c:pt idx="3">
                  <c:v>3.7326887344129457E-2</c:v>
                </c:pt>
                <c:pt idx="4">
                  <c:v>4.7425873177566781E-2</c:v>
                </c:pt>
                <c:pt idx="5">
                  <c:v>6.0086650174007626E-2</c:v>
                </c:pt>
                <c:pt idx="6">
                  <c:v>7.5858180021243546E-2</c:v>
                </c:pt>
                <c:pt idx="7">
                  <c:v>9.534946489910949E-2</c:v>
                </c:pt>
                <c:pt idx="8">
                  <c:v>0.11920292202211755</c:v>
                </c:pt>
                <c:pt idx="9">
                  <c:v>0.14804719803168948</c:v>
                </c:pt>
                <c:pt idx="10">
                  <c:v>0.18242552380635635</c:v>
                </c:pt>
                <c:pt idx="11">
                  <c:v>0.22270013882530884</c:v>
                </c:pt>
                <c:pt idx="12">
                  <c:v>0.2689414213699951</c:v>
                </c:pt>
                <c:pt idx="13">
                  <c:v>0.32082130082460703</c:v>
                </c:pt>
                <c:pt idx="14">
                  <c:v>0.37754066879814541</c:v>
                </c:pt>
                <c:pt idx="15">
                  <c:v>0.43782349911420193</c:v>
                </c:pt>
                <c:pt idx="16">
                  <c:v>0.5</c:v>
                </c:pt>
                <c:pt idx="17">
                  <c:v>0.56217650088579807</c:v>
                </c:pt>
                <c:pt idx="18">
                  <c:v>0.62245933120185459</c:v>
                </c:pt>
                <c:pt idx="19">
                  <c:v>0.67917869917539297</c:v>
                </c:pt>
                <c:pt idx="20">
                  <c:v>0.7310585786300049</c:v>
                </c:pt>
                <c:pt idx="21">
                  <c:v>0.77729986117469108</c:v>
                </c:pt>
                <c:pt idx="22">
                  <c:v>0.81757447619364365</c:v>
                </c:pt>
                <c:pt idx="23">
                  <c:v>0.85195280196831058</c:v>
                </c:pt>
                <c:pt idx="24">
                  <c:v>0.88079707797788231</c:v>
                </c:pt>
                <c:pt idx="25">
                  <c:v>0.90465053510089055</c:v>
                </c:pt>
                <c:pt idx="26">
                  <c:v>0.92414181997875655</c:v>
                </c:pt>
                <c:pt idx="27">
                  <c:v>0.93991334982599239</c:v>
                </c:pt>
                <c:pt idx="28">
                  <c:v>0.95257412682243336</c:v>
                </c:pt>
                <c:pt idx="29">
                  <c:v>0.96267311265587063</c:v>
                </c:pt>
                <c:pt idx="30">
                  <c:v>0.97068776924864364</c:v>
                </c:pt>
                <c:pt idx="31">
                  <c:v>0.97702263008997436</c:v>
                </c:pt>
                <c:pt idx="32">
                  <c:v>0.98201379003790845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83-3F4C-A7AF-C44F09378D3D}"/>
            </c:ext>
          </c:extLst>
        </c:ser>
        <c:ser>
          <c:idx val="6"/>
          <c:order val="6"/>
          <c:tx>
            <c:strRef>
              <c:f>'wo Answers'!$B$196</c:f>
              <c:strCache>
                <c:ptCount val="1"/>
                <c:pt idx="0">
                  <c:v>Swish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numRef>
              <c:f>'wo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'wo Answers'!$C$196:$AI$196</c:f>
              <c:numCache>
                <c:formatCode>0.0</c:formatCode>
                <c:ptCount val="33"/>
                <c:pt idx="0">
                  <c:v>-7.1944839848366235E-2</c:v>
                </c:pt>
                <c:pt idx="1">
                  <c:v>-8.616513716259605E-2</c:v>
                </c:pt>
                <c:pt idx="2">
                  <c:v>-0.10259280762974712</c:v>
                </c:pt>
                <c:pt idx="3">
                  <c:v>-0.12131238386842075</c:v>
                </c:pt>
                <c:pt idx="4">
                  <c:v>-0.14227761953270035</c:v>
                </c:pt>
                <c:pt idx="5">
                  <c:v>-0.16523828797852097</c:v>
                </c:pt>
                <c:pt idx="6">
                  <c:v>-0.18964545005310887</c:v>
                </c:pt>
                <c:pt idx="7">
                  <c:v>-0.21453629602299634</c:v>
                </c:pt>
                <c:pt idx="8">
                  <c:v>-0.23840584404423509</c:v>
                </c:pt>
                <c:pt idx="9">
                  <c:v>-0.25908259655545657</c:v>
                </c:pt>
                <c:pt idx="10">
                  <c:v>-0.27363828570953452</c:v>
                </c:pt>
                <c:pt idx="11">
                  <c:v>-0.27837517353163604</c:v>
                </c:pt>
                <c:pt idx="12">
                  <c:v>-0.2689414213699951</c:v>
                </c:pt>
                <c:pt idx="13">
                  <c:v>-0.24061597561845527</c:v>
                </c:pt>
                <c:pt idx="14">
                  <c:v>-0.1887703343990727</c:v>
                </c:pt>
                <c:pt idx="15">
                  <c:v>-0.10945587477855048</c:v>
                </c:pt>
                <c:pt idx="16">
                  <c:v>0</c:v>
                </c:pt>
                <c:pt idx="17">
                  <c:v>0.14054412522144952</c:v>
                </c:pt>
                <c:pt idx="18">
                  <c:v>0.3112296656009273</c:v>
                </c:pt>
                <c:pt idx="19">
                  <c:v>0.50938402438154473</c:v>
                </c:pt>
                <c:pt idx="20">
                  <c:v>0.7310585786300049</c:v>
                </c:pt>
                <c:pt idx="21">
                  <c:v>0.9716248264683639</c:v>
                </c:pt>
                <c:pt idx="22">
                  <c:v>1.2263617142904655</c:v>
                </c:pt>
                <c:pt idx="23">
                  <c:v>1.4909174034445436</c:v>
                </c:pt>
                <c:pt idx="24">
                  <c:v>1.7615941559557646</c:v>
                </c:pt>
                <c:pt idx="25">
                  <c:v>2.0354637039770038</c:v>
                </c:pt>
                <c:pt idx="26">
                  <c:v>2.3103545499468914</c:v>
                </c:pt>
                <c:pt idx="27">
                  <c:v>2.584761712021479</c:v>
                </c:pt>
                <c:pt idx="28">
                  <c:v>2.8577223804672998</c:v>
                </c:pt>
                <c:pt idx="29">
                  <c:v>3.1286876161315793</c:v>
                </c:pt>
                <c:pt idx="30">
                  <c:v>3.3974071923702525</c:v>
                </c:pt>
                <c:pt idx="31">
                  <c:v>3.6638348628374038</c:v>
                </c:pt>
                <c:pt idx="32">
                  <c:v>3.9280551601516338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83-3F4C-A7AF-C44F09378D3D}"/>
            </c:ext>
          </c:extLst>
        </c:ser>
        <c:ser>
          <c:idx val="7"/>
          <c:order val="7"/>
          <c:tx>
            <c:strRef>
              <c:f>'wo Answers'!$B$197</c:f>
              <c:strCache>
                <c:ptCount val="1"/>
                <c:pt idx="0">
                  <c:v>SwiGLU(ish)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numRef>
              <c:f>'wo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'wo Answers'!$C$197:$AI$197</c:f>
              <c:numCache>
                <c:formatCode>0.0</c:formatCode>
                <c:ptCount val="33"/>
                <c:pt idx="0">
                  <c:v>0.28777935939346494</c:v>
                </c:pt>
                <c:pt idx="1">
                  <c:v>0.3231192643597352</c:v>
                </c:pt>
                <c:pt idx="2">
                  <c:v>0.35907482670411495</c:v>
                </c:pt>
                <c:pt idx="3">
                  <c:v>0.39426524757236742</c:v>
                </c:pt>
                <c:pt idx="4">
                  <c:v>0.42683285859810105</c:v>
                </c:pt>
                <c:pt idx="5">
                  <c:v>0.45440529194093265</c:v>
                </c:pt>
                <c:pt idx="6">
                  <c:v>0.47411362513277217</c:v>
                </c:pt>
                <c:pt idx="7">
                  <c:v>0.48270666605174178</c:v>
                </c:pt>
                <c:pt idx="8">
                  <c:v>0.47681168808847019</c:v>
                </c:pt>
                <c:pt idx="9">
                  <c:v>0.45339454397204898</c:v>
                </c:pt>
                <c:pt idx="10">
                  <c:v>0.41045742856430179</c:v>
                </c:pt>
                <c:pt idx="11">
                  <c:v>0.34796896691454504</c:v>
                </c:pt>
                <c:pt idx="12">
                  <c:v>0.2689414213699951</c:v>
                </c:pt>
                <c:pt idx="13">
                  <c:v>0.18046198171384145</c:v>
                </c:pt>
                <c:pt idx="14">
                  <c:v>9.4385167199536352E-2</c:v>
                </c:pt>
                <c:pt idx="15">
                  <c:v>2.7363968694637621E-2</c:v>
                </c:pt>
                <c:pt idx="16">
                  <c:v>0</c:v>
                </c:pt>
                <c:pt idx="17">
                  <c:v>3.5136031305362379E-2</c:v>
                </c:pt>
                <c:pt idx="18">
                  <c:v>0.15561483280046365</c:v>
                </c:pt>
                <c:pt idx="19">
                  <c:v>0.38203801828615858</c:v>
                </c:pt>
                <c:pt idx="20">
                  <c:v>0.7310585786300049</c:v>
                </c:pt>
                <c:pt idx="21">
                  <c:v>1.2145310330854548</c:v>
                </c:pt>
                <c:pt idx="22">
                  <c:v>1.8395425714356981</c:v>
                </c:pt>
                <c:pt idx="23">
                  <c:v>2.6091054560279514</c:v>
                </c:pt>
                <c:pt idx="24">
                  <c:v>3.5231883119115293</c:v>
                </c:pt>
                <c:pt idx="25">
                  <c:v>4.5797933339482588</c:v>
                </c:pt>
                <c:pt idx="26">
                  <c:v>5.7758863748672287</c:v>
                </c:pt>
                <c:pt idx="27">
                  <c:v>7.1080947080590668</c:v>
                </c:pt>
                <c:pt idx="28">
                  <c:v>8.5731671414018997</c:v>
                </c:pt>
                <c:pt idx="29">
                  <c:v>10.168234752427633</c:v>
                </c:pt>
                <c:pt idx="30">
                  <c:v>11.890925173295884</c:v>
                </c:pt>
                <c:pt idx="31">
                  <c:v>13.739380735640264</c:v>
                </c:pt>
                <c:pt idx="32">
                  <c:v>15.712220640606535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83-3F4C-A7AF-C44F09378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206825"/>
        <c:axId val="1760919473"/>
      </c:lineChart>
      <c:catAx>
        <c:axId val="633206825"/>
        <c:scaling>
          <c:orientation val="minMax"/>
          <c:max val="4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760919473"/>
        <c:crosses val="autoZero"/>
        <c:auto val="1"/>
        <c:lblAlgn val="ctr"/>
        <c:lblOffset val="100"/>
        <c:noMultiLvlLbl val="1"/>
      </c:catAx>
      <c:valAx>
        <c:axId val="1760919473"/>
        <c:scaling>
          <c:orientation val="minMax"/>
          <c:max val="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63320682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Combined ReLU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 Answers'!$B$232</c:f>
              <c:strCache>
                <c:ptCount val="1"/>
                <c:pt idx="0">
                  <c:v>ReLU+-ReLU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 Answers'!$C$229:$AI$229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 Answers'!$C$232:$AI$232</c:f>
              <c:numCache>
                <c:formatCode>General</c:formatCode>
                <c:ptCount val="33"/>
                <c:pt idx="0">
                  <c:v>4</c:v>
                </c:pt>
                <c:pt idx="1">
                  <c:v>3.75</c:v>
                </c:pt>
                <c:pt idx="2">
                  <c:v>3.5</c:v>
                </c:pt>
                <c:pt idx="3">
                  <c:v>3.25</c:v>
                </c:pt>
                <c:pt idx="4">
                  <c:v>3</c:v>
                </c:pt>
                <c:pt idx="5">
                  <c:v>2.75</c:v>
                </c:pt>
                <c:pt idx="6">
                  <c:v>2.5</c:v>
                </c:pt>
                <c:pt idx="7">
                  <c:v>2.25</c:v>
                </c:pt>
                <c:pt idx="8">
                  <c:v>2</c:v>
                </c:pt>
                <c:pt idx="9">
                  <c:v>1.75</c:v>
                </c:pt>
                <c:pt idx="10">
                  <c:v>1.5</c:v>
                </c:pt>
                <c:pt idx="11">
                  <c:v>1.25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DA-574C-9934-8CC1C473A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463515"/>
        <c:axId val="16323295"/>
      </c:lineChart>
      <c:catAx>
        <c:axId val="1746463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6323295"/>
        <c:crosses val="autoZero"/>
        <c:auto val="1"/>
        <c:lblAlgn val="ctr"/>
        <c:lblOffset val="100"/>
        <c:noMultiLvlLbl val="1"/>
      </c:catAx>
      <c:valAx>
        <c:axId val="16323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7464635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vs. Input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 Answers'!$B$9</c:f>
              <c:strCache>
                <c:ptCount val="1"/>
                <c:pt idx="0">
                  <c:v>ReLU</c:v>
                </c:pt>
              </c:strCache>
            </c:strRef>
          </c:tx>
          <c:spPr>
            <a:ln w="76200"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numRef>
              <c:f>'w Answers'!$C$8:$V$8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 Answers'!$C$9:$V$9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94-3C40-B1AD-CEA8A11B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4039457"/>
        <c:axId val="1813105041"/>
      </c:lineChart>
      <c:catAx>
        <c:axId val="2034039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3600"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813105041"/>
        <c:crosses val="autoZero"/>
        <c:auto val="1"/>
        <c:lblAlgn val="ctr"/>
        <c:lblOffset val="100"/>
        <c:noMultiLvlLbl val="1"/>
      </c:catAx>
      <c:valAx>
        <c:axId val="1813105041"/>
        <c:scaling>
          <c:orientation val="minMax"/>
          <c:max val="4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ReLU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3600"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20340394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and ReLU^2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 Answers'!$B$94</c:f>
              <c:strCache>
                <c:ptCount val="1"/>
                <c:pt idx="0">
                  <c:v>ReLU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 Answers'!$C$93:$V$93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 Answers'!$C$94:$V$94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D-2749-8F0D-477700961459}"/>
            </c:ext>
          </c:extLst>
        </c:ser>
        <c:ser>
          <c:idx val="1"/>
          <c:order val="1"/>
          <c:tx>
            <c:strRef>
              <c:f>'w Answers'!$B$95</c:f>
              <c:strCache>
                <c:ptCount val="1"/>
                <c:pt idx="0">
                  <c:v>ReLU^2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'w Answers'!$C$93:$V$93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 Answers'!$C$95:$V$95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1</c:v>
                </c:pt>
                <c:pt idx="13">
                  <c:v>2.25</c:v>
                </c:pt>
                <c:pt idx="14">
                  <c:v>4</c:v>
                </c:pt>
                <c:pt idx="15">
                  <c:v>6.25</c:v>
                </c:pt>
                <c:pt idx="16">
                  <c:v>9</c:v>
                </c:pt>
                <c:pt idx="17">
                  <c:v>12.25</c:v>
                </c:pt>
                <c:pt idx="18">
                  <c:v>16</c:v>
                </c:pt>
                <c:pt idx="19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BD-2749-8F0D-477700961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996281"/>
        <c:axId val="1495686289"/>
      </c:lineChart>
      <c:catAx>
        <c:axId val="1842996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495686289"/>
        <c:crosses val="autoZero"/>
        <c:auto val="1"/>
        <c:lblAlgn val="ctr"/>
        <c:lblOffset val="100"/>
        <c:noMultiLvlLbl val="1"/>
      </c:catAx>
      <c:valAx>
        <c:axId val="1495686289"/>
        <c:scaling>
          <c:orientation val="minMax"/>
          <c:min val="-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8429962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ReLU, ReLU^2 and Leaky ReLU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 Answers'!$B$124</c:f>
              <c:strCache>
                <c:ptCount val="1"/>
                <c:pt idx="0">
                  <c:v>ReLU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 Answers'!$C$123:$V$123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 Answers'!$C$124:$V$124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7-B44F-A2B8-3EE9F9E20BD0}"/>
            </c:ext>
          </c:extLst>
        </c:ser>
        <c:ser>
          <c:idx val="1"/>
          <c:order val="1"/>
          <c:tx>
            <c:strRef>
              <c:f>'w Answers'!$B$125</c:f>
              <c:strCache>
                <c:ptCount val="1"/>
                <c:pt idx="0">
                  <c:v>ReLU^2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'w Answers'!$C$123:$V$123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 Answers'!$C$125:$V$125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1</c:v>
                </c:pt>
                <c:pt idx="13">
                  <c:v>2.25</c:v>
                </c:pt>
                <c:pt idx="14">
                  <c:v>4</c:v>
                </c:pt>
                <c:pt idx="15">
                  <c:v>6.25</c:v>
                </c:pt>
                <c:pt idx="16">
                  <c:v>9</c:v>
                </c:pt>
                <c:pt idx="17">
                  <c:v>12.25</c:v>
                </c:pt>
                <c:pt idx="18">
                  <c:v>16</c:v>
                </c:pt>
                <c:pt idx="19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37-B44F-A2B8-3EE9F9E20BD0}"/>
            </c:ext>
          </c:extLst>
        </c:ser>
        <c:ser>
          <c:idx val="2"/>
          <c:order val="2"/>
          <c:tx>
            <c:strRef>
              <c:f>'w Answers'!$B$126</c:f>
              <c:strCache>
                <c:ptCount val="1"/>
                <c:pt idx="0">
                  <c:v>Leaky ReLU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'w Answers'!$C$123:$V$123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 Answers'!$C$126:$V$126</c:f>
              <c:numCache>
                <c:formatCode>General</c:formatCode>
                <c:ptCount val="20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-0.30000000000000004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37-B44F-A2B8-3EE9F9E20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113713"/>
        <c:axId val="263440218"/>
      </c:lineChart>
      <c:catAx>
        <c:axId val="712113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263440218"/>
        <c:crosses val="autoZero"/>
        <c:auto val="1"/>
        <c:lblAlgn val="ctr"/>
        <c:lblOffset val="100"/>
        <c:noMultiLvlLbl val="1"/>
      </c:catAx>
      <c:valAx>
        <c:axId val="263440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7121137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vs. GeLU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 Answers'!$B$157</c:f>
              <c:strCache>
                <c:ptCount val="1"/>
                <c:pt idx="0">
                  <c:v>ReLU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 Answers'!$C$156:$V$156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 Answers'!$C$157:$V$157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C-DD46-BFC9-3A9B6BA88BAC}"/>
            </c:ext>
          </c:extLst>
        </c:ser>
        <c:ser>
          <c:idx val="1"/>
          <c:order val="1"/>
          <c:tx>
            <c:strRef>
              <c:f>'w Answers'!$B$158</c:f>
              <c:strCache>
                <c:ptCount val="1"/>
                <c:pt idx="0">
                  <c:v>GeLU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'w Answers'!$C$156:$V$156</c:f>
              <c:numCache>
                <c:formatCode>General</c:formatCode>
                <c:ptCount val="20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</c:numCache>
            </c:numRef>
          </c:cat>
          <c:val>
            <c:numRef>
              <c:f>'w Answers'!$C$158:$V$158</c:f>
              <c:numCache>
                <c:formatCode>0.0</c:formatCode>
                <c:ptCount val="20"/>
                <c:pt idx="0">
                  <c:v>-2.2917961944868281E-7</c:v>
                </c:pt>
                <c:pt idx="1">
                  <c:v>-5.1367374121757958E-6</c:v>
                </c:pt>
                <c:pt idx="2">
                  <c:v>-7.0245948192271257E-5</c:v>
                </c:pt>
                <c:pt idx="3">
                  <c:v>-6.1619765537374027E-4</c:v>
                </c:pt>
                <c:pt idx="4">
                  <c:v>-3.6373920817728278E-3</c:v>
                </c:pt>
                <c:pt idx="5">
                  <c:v>-1.5084266089998577E-2</c:v>
                </c:pt>
                <c:pt idx="6">
                  <c:v>-4.5402305912224938E-2</c:v>
                </c:pt>
                <c:pt idx="7">
                  <c:v>-0.10042842301976715</c:v>
                </c:pt>
                <c:pt idx="8">
                  <c:v>-0.15880800939172324</c:v>
                </c:pt>
                <c:pt idx="9">
                  <c:v>-0.15428599017485609</c:v>
                </c:pt>
                <c:pt idx="10">
                  <c:v>0</c:v>
                </c:pt>
                <c:pt idx="11">
                  <c:v>0.34571400982514389</c:v>
                </c:pt>
                <c:pt idx="12">
                  <c:v>0.84119199060827676</c:v>
                </c:pt>
                <c:pt idx="13">
                  <c:v>1.3995715769802328</c:v>
                </c:pt>
                <c:pt idx="14">
                  <c:v>1.954597694087775</c:v>
                </c:pt>
                <c:pt idx="15">
                  <c:v>2.4849157339100012</c:v>
                </c:pt>
                <c:pt idx="16">
                  <c:v>2.9963626079182273</c:v>
                </c:pt>
                <c:pt idx="17">
                  <c:v>3.4993838023446262</c:v>
                </c:pt>
                <c:pt idx="18">
                  <c:v>3.9999297540518075</c:v>
                </c:pt>
                <c:pt idx="19">
                  <c:v>4.4999948632625877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1C-DD46-BFC9-3A9B6BA88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3122182"/>
        <c:axId val="957316148"/>
      </c:lineChart>
      <c:catAx>
        <c:axId val="1883122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957316148"/>
        <c:crosses val="autoZero"/>
        <c:auto val="1"/>
        <c:lblAlgn val="ctr"/>
        <c:lblOffset val="100"/>
        <c:noMultiLvlLbl val="1"/>
      </c:catAx>
      <c:valAx>
        <c:axId val="957316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8831221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'w Answers'!$B$190</c:f>
              <c:strCache>
                <c:ptCount val="1"/>
                <c:pt idx="0">
                  <c:v>ReLU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 Answers'!$C$190:$AI$190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4-F24B-83D5-F6DCEAD6D58B}"/>
            </c:ext>
          </c:extLst>
        </c:ser>
        <c:ser>
          <c:idx val="1"/>
          <c:order val="1"/>
          <c:tx>
            <c:strRef>
              <c:f>'w Answers'!$B$191</c:f>
              <c:strCache>
                <c:ptCount val="1"/>
                <c:pt idx="0">
                  <c:v>ReLU^2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'w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 Answers'!$C$191:$AI$191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6.25E-2</c:v>
                </c:pt>
                <c:pt idx="18">
                  <c:v>0.25</c:v>
                </c:pt>
                <c:pt idx="19">
                  <c:v>0.5625</c:v>
                </c:pt>
                <c:pt idx="20">
                  <c:v>1</c:v>
                </c:pt>
                <c:pt idx="21">
                  <c:v>1.5625</c:v>
                </c:pt>
                <c:pt idx="22">
                  <c:v>2.25</c:v>
                </c:pt>
                <c:pt idx="23">
                  <c:v>3.0625</c:v>
                </c:pt>
                <c:pt idx="24">
                  <c:v>4</c:v>
                </c:pt>
                <c:pt idx="25">
                  <c:v>5.0625</c:v>
                </c:pt>
                <c:pt idx="26">
                  <c:v>6.25</c:v>
                </c:pt>
                <c:pt idx="27">
                  <c:v>7.5625</c:v>
                </c:pt>
                <c:pt idx="28">
                  <c:v>9</c:v>
                </c:pt>
                <c:pt idx="29">
                  <c:v>10.5625</c:v>
                </c:pt>
                <c:pt idx="30">
                  <c:v>12.25</c:v>
                </c:pt>
                <c:pt idx="31">
                  <c:v>14.0625</c:v>
                </c:pt>
                <c:pt idx="3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4-F24B-83D5-F6DCEAD6D58B}"/>
            </c:ext>
          </c:extLst>
        </c:ser>
        <c:ser>
          <c:idx val="2"/>
          <c:order val="2"/>
          <c:tx>
            <c:strRef>
              <c:f>'w Answers'!$B$192</c:f>
              <c:strCache>
                <c:ptCount val="1"/>
                <c:pt idx="0">
                  <c:v>Leaky ReLU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'w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 Answers'!$C$192:$AI$192</c:f>
              <c:numCache>
                <c:formatCode>General</c:formatCode>
                <c:ptCount val="33"/>
                <c:pt idx="0">
                  <c:v>-0.8</c:v>
                </c:pt>
                <c:pt idx="1">
                  <c:v>-0.75</c:v>
                </c:pt>
                <c:pt idx="2">
                  <c:v>-0.70000000000000007</c:v>
                </c:pt>
                <c:pt idx="3">
                  <c:v>-0.65</c:v>
                </c:pt>
                <c:pt idx="4">
                  <c:v>-0.60000000000000009</c:v>
                </c:pt>
                <c:pt idx="5">
                  <c:v>-0.55000000000000004</c:v>
                </c:pt>
                <c:pt idx="6">
                  <c:v>-0.5</c:v>
                </c:pt>
                <c:pt idx="7">
                  <c:v>-0.45</c:v>
                </c:pt>
                <c:pt idx="8">
                  <c:v>-0.4</c:v>
                </c:pt>
                <c:pt idx="9">
                  <c:v>-0.35000000000000003</c:v>
                </c:pt>
                <c:pt idx="10">
                  <c:v>-0.30000000000000004</c:v>
                </c:pt>
                <c:pt idx="11">
                  <c:v>-0.25</c:v>
                </c:pt>
                <c:pt idx="12">
                  <c:v>-0.2</c:v>
                </c:pt>
                <c:pt idx="13">
                  <c:v>-0.15000000000000002</c:v>
                </c:pt>
                <c:pt idx="14">
                  <c:v>-0.1</c:v>
                </c:pt>
                <c:pt idx="15">
                  <c:v>-0.05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84-F24B-83D5-F6DCEAD6D58B}"/>
            </c:ext>
          </c:extLst>
        </c:ser>
        <c:ser>
          <c:idx val="3"/>
          <c:order val="3"/>
          <c:tx>
            <c:strRef>
              <c:f>'w Answers'!$B$193</c:f>
              <c:strCache>
                <c:ptCount val="1"/>
                <c:pt idx="0">
                  <c:v>GeLU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'w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 Answers'!$C$193:$AI$193</c:f>
              <c:numCache>
                <c:formatCode>0.0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3.2807349306281458E-2</c:v>
                </c:pt>
                <c:pt idx="18">
                  <c:v>0.149675350701685</c:v>
                </c:pt>
                <c:pt idx="19">
                  <c:v>0.40109939442952053</c:v>
                </c:pt>
                <c:pt idx="20">
                  <c:v>0.84119199060827676</c:v>
                </c:pt>
                <c:pt idx="21">
                  <c:v>1.4699806126108916</c:v>
                </c:pt>
                <c:pt idx="22">
                  <c:v>2.2227986701027111</c:v>
                </c:pt>
                <c:pt idx="23">
                  <c:v>3.0595273449625573</c:v>
                </c:pt>
                <c:pt idx="24">
                  <c:v>3.9999297540518075</c:v>
                </c:pt>
                <c:pt idx="25">
                  <c:v>5.0624998503171144</c:v>
                </c:pt>
                <c:pt idx="26">
                  <c:v>6.2499999999920801</c:v>
                </c:pt>
                <c:pt idx="27">
                  <c:v>7.5625</c:v>
                </c:pt>
                <c:pt idx="28">
                  <c:v>9</c:v>
                </c:pt>
                <c:pt idx="29">
                  <c:v>10.5625</c:v>
                </c:pt>
                <c:pt idx="30">
                  <c:v>12.25</c:v>
                </c:pt>
                <c:pt idx="31">
                  <c:v>14.0625</c:v>
                </c:pt>
                <c:pt idx="3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84-F24B-83D5-F6DCEAD6D58B}"/>
            </c:ext>
          </c:extLst>
        </c:ser>
        <c:ser>
          <c:idx val="4"/>
          <c:order val="4"/>
          <c:tx>
            <c:strRef>
              <c:f>'w Answers'!$B$194</c:f>
              <c:strCache>
                <c:ptCount val="1"/>
                <c:pt idx="0">
                  <c:v>Tanh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numRef>
              <c:f>'w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 Answers'!$C$194:$AI$194</c:f>
              <c:numCache>
                <c:formatCode>0.0</c:formatCode>
                <c:ptCount val="33"/>
                <c:pt idx="0">
                  <c:v>-0.99932929973906692</c:v>
                </c:pt>
                <c:pt idx="1">
                  <c:v>-0.99889444272615269</c:v>
                </c:pt>
                <c:pt idx="2">
                  <c:v>-0.99817789761119868</c:v>
                </c:pt>
                <c:pt idx="3">
                  <c:v>-0.99699763548652609</c:v>
                </c:pt>
                <c:pt idx="4">
                  <c:v>-0.99505475368673058</c:v>
                </c:pt>
                <c:pt idx="5">
                  <c:v>-0.99185972456820781</c:v>
                </c:pt>
                <c:pt idx="6">
                  <c:v>-0.98661429815143042</c:v>
                </c:pt>
                <c:pt idx="7">
                  <c:v>-0.97802611473881362</c:v>
                </c:pt>
                <c:pt idx="8">
                  <c:v>-0.96402758007581701</c:v>
                </c:pt>
                <c:pt idx="9">
                  <c:v>-0.94137553849728728</c:v>
                </c:pt>
                <c:pt idx="10">
                  <c:v>-0.9051482536448664</c:v>
                </c:pt>
                <c:pt idx="11">
                  <c:v>-0.84828363995751288</c:v>
                </c:pt>
                <c:pt idx="12">
                  <c:v>-0.76159415595576485</c:v>
                </c:pt>
                <c:pt idx="13">
                  <c:v>-0.6351489523872873</c:v>
                </c:pt>
                <c:pt idx="14">
                  <c:v>-0.46211715726000979</c:v>
                </c:pt>
                <c:pt idx="15">
                  <c:v>-0.24491866240370913</c:v>
                </c:pt>
                <c:pt idx="16">
                  <c:v>0</c:v>
                </c:pt>
                <c:pt idx="17">
                  <c:v>0.24491866240370913</c:v>
                </c:pt>
                <c:pt idx="18">
                  <c:v>0.46211715726000979</c:v>
                </c:pt>
                <c:pt idx="19">
                  <c:v>0.6351489523872873</c:v>
                </c:pt>
                <c:pt idx="20">
                  <c:v>0.76159415595576485</c:v>
                </c:pt>
                <c:pt idx="21">
                  <c:v>0.84828363995751288</c:v>
                </c:pt>
                <c:pt idx="22">
                  <c:v>0.9051482536448664</c:v>
                </c:pt>
                <c:pt idx="23">
                  <c:v>0.94137553849728728</c:v>
                </c:pt>
                <c:pt idx="24">
                  <c:v>0.96402758007581701</c:v>
                </c:pt>
                <c:pt idx="25">
                  <c:v>0.97802611473881362</c:v>
                </c:pt>
                <c:pt idx="26">
                  <c:v>0.98661429815143042</c:v>
                </c:pt>
                <c:pt idx="27">
                  <c:v>0.99185972456820781</c:v>
                </c:pt>
                <c:pt idx="28">
                  <c:v>0.99505475368673058</c:v>
                </c:pt>
                <c:pt idx="29">
                  <c:v>0.99699763548652609</c:v>
                </c:pt>
                <c:pt idx="30">
                  <c:v>0.99817789761119868</c:v>
                </c:pt>
                <c:pt idx="31">
                  <c:v>0.99889444272615269</c:v>
                </c:pt>
                <c:pt idx="32">
                  <c:v>0.99932929973906692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84-F24B-83D5-F6DCEAD6D58B}"/>
            </c:ext>
          </c:extLst>
        </c:ser>
        <c:ser>
          <c:idx val="5"/>
          <c:order val="5"/>
          <c:tx>
            <c:strRef>
              <c:f>'w Answers'!$B$195</c:f>
              <c:strCache>
                <c:ptCount val="1"/>
                <c:pt idx="0">
                  <c:v>Sigmoid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numRef>
              <c:f>'w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 Answers'!$C$195:$AI$195</c:f>
              <c:numCache>
                <c:formatCode>0.0</c:formatCode>
                <c:ptCount val="33"/>
                <c:pt idx="0">
                  <c:v>1.7986209962091559E-2</c:v>
                </c:pt>
                <c:pt idx="1">
                  <c:v>2.2977369910025615E-2</c:v>
                </c:pt>
                <c:pt idx="2">
                  <c:v>2.9312230751356319E-2</c:v>
                </c:pt>
                <c:pt idx="3">
                  <c:v>3.7326887344129457E-2</c:v>
                </c:pt>
                <c:pt idx="4">
                  <c:v>4.7425873177566781E-2</c:v>
                </c:pt>
                <c:pt idx="5">
                  <c:v>6.0086650174007626E-2</c:v>
                </c:pt>
                <c:pt idx="6">
                  <c:v>7.5858180021243546E-2</c:v>
                </c:pt>
                <c:pt idx="7">
                  <c:v>9.534946489910949E-2</c:v>
                </c:pt>
                <c:pt idx="8">
                  <c:v>0.11920292202211755</c:v>
                </c:pt>
                <c:pt idx="9">
                  <c:v>0.14804719803168948</c:v>
                </c:pt>
                <c:pt idx="10">
                  <c:v>0.18242552380635635</c:v>
                </c:pt>
                <c:pt idx="11">
                  <c:v>0.22270013882530884</c:v>
                </c:pt>
                <c:pt idx="12">
                  <c:v>0.2689414213699951</c:v>
                </c:pt>
                <c:pt idx="13">
                  <c:v>0.32082130082460703</c:v>
                </c:pt>
                <c:pt idx="14">
                  <c:v>0.37754066879814541</c:v>
                </c:pt>
                <c:pt idx="15">
                  <c:v>0.43782349911420193</c:v>
                </c:pt>
                <c:pt idx="16">
                  <c:v>0.5</c:v>
                </c:pt>
                <c:pt idx="17">
                  <c:v>0.56217650088579807</c:v>
                </c:pt>
                <c:pt idx="18">
                  <c:v>0.62245933120185459</c:v>
                </c:pt>
                <c:pt idx="19">
                  <c:v>0.67917869917539297</c:v>
                </c:pt>
                <c:pt idx="20">
                  <c:v>0.7310585786300049</c:v>
                </c:pt>
                <c:pt idx="21">
                  <c:v>0.77729986117469108</c:v>
                </c:pt>
                <c:pt idx="22">
                  <c:v>0.81757447619364365</c:v>
                </c:pt>
                <c:pt idx="23">
                  <c:v>0.85195280196831058</c:v>
                </c:pt>
                <c:pt idx="24">
                  <c:v>0.88079707797788231</c:v>
                </c:pt>
                <c:pt idx="25">
                  <c:v>0.90465053510089055</c:v>
                </c:pt>
                <c:pt idx="26">
                  <c:v>0.92414181997875655</c:v>
                </c:pt>
                <c:pt idx="27">
                  <c:v>0.93991334982599239</c:v>
                </c:pt>
                <c:pt idx="28">
                  <c:v>0.95257412682243336</c:v>
                </c:pt>
                <c:pt idx="29">
                  <c:v>0.96267311265587063</c:v>
                </c:pt>
                <c:pt idx="30">
                  <c:v>0.97068776924864364</c:v>
                </c:pt>
                <c:pt idx="31">
                  <c:v>0.97702263008997436</c:v>
                </c:pt>
                <c:pt idx="32">
                  <c:v>0.98201379003790845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84-F24B-83D5-F6DCEAD6D58B}"/>
            </c:ext>
          </c:extLst>
        </c:ser>
        <c:ser>
          <c:idx val="6"/>
          <c:order val="6"/>
          <c:tx>
            <c:strRef>
              <c:f>'w Answers'!$B$196</c:f>
              <c:strCache>
                <c:ptCount val="1"/>
                <c:pt idx="0">
                  <c:v>Swish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numRef>
              <c:f>'w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 Answers'!$C$196:$AI$196</c:f>
              <c:numCache>
                <c:formatCode>0.0</c:formatCode>
                <c:ptCount val="33"/>
                <c:pt idx="0">
                  <c:v>-7.1944839848366235E-2</c:v>
                </c:pt>
                <c:pt idx="1">
                  <c:v>-8.616513716259605E-2</c:v>
                </c:pt>
                <c:pt idx="2">
                  <c:v>-0.10259280762974712</c:v>
                </c:pt>
                <c:pt idx="3">
                  <c:v>-0.12131238386842075</c:v>
                </c:pt>
                <c:pt idx="4">
                  <c:v>-0.14227761953270035</c:v>
                </c:pt>
                <c:pt idx="5">
                  <c:v>-0.16523828797852097</c:v>
                </c:pt>
                <c:pt idx="6">
                  <c:v>-0.18964545005310887</c:v>
                </c:pt>
                <c:pt idx="7">
                  <c:v>-0.21453629602299634</c:v>
                </c:pt>
                <c:pt idx="8">
                  <c:v>-0.23840584404423509</c:v>
                </c:pt>
                <c:pt idx="9">
                  <c:v>-0.25908259655545657</c:v>
                </c:pt>
                <c:pt idx="10">
                  <c:v>-0.27363828570953452</c:v>
                </c:pt>
                <c:pt idx="11">
                  <c:v>-0.27837517353163604</c:v>
                </c:pt>
                <c:pt idx="12">
                  <c:v>-0.2689414213699951</c:v>
                </c:pt>
                <c:pt idx="13">
                  <c:v>-0.24061597561845527</c:v>
                </c:pt>
                <c:pt idx="14">
                  <c:v>-0.1887703343990727</c:v>
                </c:pt>
                <c:pt idx="15">
                  <c:v>-0.10945587477855048</c:v>
                </c:pt>
                <c:pt idx="16">
                  <c:v>0</c:v>
                </c:pt>
                <c:pt idx="17">
                  <c:v>0.14054412522144952</c:v>
                </c:pt>
                <c:pt idx="18">
                  <c:v>0.3112296656009273</c:v>
                </c:pt>
                <c:pt idx="19">
                  <c:v>0.50938402438154473</c:v>
                </c:pt>
                <c:pt idx="20">
                  <c:v>0.7310585786300049</c:v>
                </c:pt>
                <c:pt idx="21">
                  <c:v>0.9716248264683639</c:v>
                </c:pt>
                <c:pt idx="22">
                  <c:v>1.2263617142904655</c:v>
                </c:pt>
                <c:pt idx="23">
                  <c:v>1.4909174034445436</c:v>
                </c:pt>
                <c:pt idx="24">
                  <c:v>1.7615941559557646</c:v>
                </c:pt>
                <c:pt idx="25">
                  <c:v>2.0354637039770038</c:v>
                </c:pt>
                <c:pt idx="26">
                  <c:v>2.3103545499468914</c:v>
                </c:pt>
                <c:pt idx="27">
                  <c:v>2.584761712021479</c:v>
                </c:pt>
                <c:pt idx="28">
                  <c:v>2.8577223804672998</c:v>
                </c:pt>
                <c:pt idx="29">
                  <c:v>3.1286876161315793</c:v>
                </c:pt>
                <c:pt idx="30">
                  <c:v>3.3974071923702525</c:v>
                </c:pt>
                <c:pt idx="31">
                  <c:v>3.6638348628374038</c:v>
                </c:pt>
                <c:pt idx="32">
                  <c:v>3.9280551601516338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84-F24B-83D5-F6DCEAD6D58B}"/>
            </c:ext>
          </c:extLst>
        </c:ser>
        <c:ser>
          <c:idx val="7"/>
          <c:order val="7"/>
          <c:tx>
            <c:strRef>
              <c:f>'w Answers'!$B$197</c:f>
              <c:strCache>
                <c:ptCount val="1"/>
                <c:pt idx="0">
                  <c:v>SwiGLU(ish)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numRef>
              <c:f>'w Answers'!$C$189:$AI$189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 Answers'!$C$197:$AI$197</c:f>
              <c:numCache>
                <c:formatCode>0.0</c:formatCode>
                <c:ptCount val="33"/>
                <c:pt idx="0">
                  <c:v>0.28777935939346494</c:v>
                </c:pt>
                <c:pt idx="1">
                  <c:v>0.3231192643597352</c:v>
                </c:pt>
                <c:pt idx="2">
                  <c:v>0.35907482670411495</c:v>
                </c:pt>
                <c:pt idx="3">
                  <c:v>0.39426524757236742</c:v>
                </c:pt>
                <c:pt idx="4">
                  <c:v>0.42683285859810105</c:v>
                </c:pt>
                <c:pt idx="5">
                  <c:v>0.45440529194093265</c:v>
                </c:pt>
                <c:pt idx="6">
                  <c:v>0.47411362513277217</c:v>
                </c:pt>
                <c:pt idx="7">
                  <c:v>0.48270666605174178</c:v>
                </c:pt>
                <c:pt idx="8">
                  <c:v>0.47681168808847019</c:v>
                </c:pt>
                <c:pt idx="9">
                  <c:v>0.45339454397204898</c:v>
                </c:pt>
                <c:pt idx="10">
                  <c:v>0.41045742856430179</c:v>
                </c:pt>
                <c:pt idx="11">
                  <c:v>0.34796896691454504</c:v>
                </c:pt>
                <c:pt idx="12">
                  <c:v>0.2689414213699951</c:v>
                </c:pt>
                <c:pt idx="13">
                  <c:v>0.18046198171384145</c:v>
                </c:pt>
                <c:pt idx="14">
                  <c:v>9.4385167199536352E-2</c:v>
                </c:pt>
                <c:pt idx="15">
                  <c:v>2.7363968694637621E-2</c:v>
                </c:pt>
                <c:pt idx="16">
                  <c:v>0</c:v>
                </c:pt>
                <c:pt idx="17">
                  <c:v>3.5136031305362379E-2</c:v>
                </c:pt>
                <c:pt idx="18">
                  <c:v>0.15561483280046365</c:v>
                </c:pt>
                <c:pt idx="19">
                  <c:v>0.38203801828615858</c:v>
                </c:pt>
                <c:pt idx="20">
                  <c:v>0.7310585786300049</c:v>
                </c:pt>
                <c:pt idx="21">
                  <c:v>1.2145310330854548</c:v>
                </c:pt>
                <c:pt idx="22">
                  <c:v>1.8395425714356981</c:v>
                </c:pt>
                <c:pt idx="23">
                  <c:v>2.6091054560279514</c:v>
                </c:pt>
                <c:pt idx="24">
                  <c:v>3.5231883119115293</c:v>
                </c:pt>
                <c:pt idx="25">
                  <c:v>4.5797933339482588</c:v>
                </c:pt>
                <c:pt idx="26">
                  <c:v>5.7758863748672287</c:v>
                </c:pt>
                <c:pt idx="27">
                  <c:v>7.1080947080590668</c:v>
                </c:pt>
                <c:pt idx="28">
                  <c:v>8.5731671414018997</c:v>
                </c:pt>
                <c:pt idx="29">
                  <c:v>10.168234752427633</c:v>
                </c:pt>
                <c:pt idx="30">
                  <c:v>11.890925173295884</c:v>
                </c:pt>
                <c:pt idx="31">
                  <c:v>13.739380735640264</c:v>
                </c:pt>
                <c:pt idx="32">
                  <c:v>15.712220640606535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F84-F24B-83D5-F6DCEAD6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644523"/>
        <c:axId val="1865277789"/>
      </c:lineChart>
      <c:catAx>
        <c:axId val="986644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865277789"/>
        <c:crosses val="autoZero"/>
        <c:auto val="1"/>
        <c:lblAlgn val="ctr"/>
        <c:lblOffset val="100"/>
        <c:noMultiLvlLbl val="1"/>
      </c:catAx>
      <c:valAx>
        <c:axId val="1865277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9866445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Combined ReLU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 Answers'!$B$232</c:f>
              <c:strCache>
                <c:ptCount val="1"/>
                <c:pt idx="0">
                  <c:v>ReLU+-ReLU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 Answers'!$C$229:$AI$229</c:f>
              <c:numCache>
                <c:formatCode>General</c:formatCode>
                <c:ptCount val="3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cat>
          <c:val>
            <c:numRef>
              <c:f>'w Answers'!$C$232:$AI$232</c:f>
              <c:numCache>
                <c:formatCode>General</c:formatCode>
                <c:ptCount val="33"/>
                <c:pt idx="0">
                  <c:v>4</c:v>
                </c:pt>
                <c:pt idx="1">
                  <c:v>3.75</c:v>
                </c:pt>
                <c:pt idx="2">
                  <c:v>3.5</c:v>
                </c:pt>
                <c:pt idx="3">
                  <c:v>3.25</c:v>
                </c:pt>
                <c:pt idx="4">
                  <c:v>3</c:v>
                </c:pt>
                <c:pt idx="5">
                  <c:v>2.75</c:v>
                </c:pt>
                <c:pt idx="6">
                  <c:v>2.5</c:v>
                </c:pt>
                <c:pt idx="7">
                  <c:v>2.25</c:v>
                </c:pt>
                <c:pt idx="8">
                  <c:v>2</c:v>
                </c:pt>
                <c:pt idx="9">
                  <c:v>1.75</c:v>
                </c:pt>
                <c:pt idx="10">
                  <c:v>1.5</c:v>
                </c:pt>
                <c:pt idx="11">
                  <c:v>1.25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A-2D43-86C7-2E4CB083E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028259"/>
        <c:axId val="1542609571"/>
      </c:lineChart>
      <c:catAx>
        <c:axId val="485028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542609571"/>
        <c:crosses val="autoZero"/>
        <c:auto val="1"/>
        <c:lblAlgn val="ctr"/>
        <c:lblOffset val="100"/>
        <c:noMultiLvlLbl val="1"/>
      </c:catAx>
      <c:valAx>
        <c:axId val="1542609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4850282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6" Type="http://schemas.openxmlformats.org/officeDocument/2006/relationships/image" Target="../media/image10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png"/><Relationship Id="rId3" Type="http://schemas.openxmlformats.org/officeDocument/2006/relationships/chart" Target="../charts/chart9.xml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2" Type="http://schemas.openxmlformats.org/officeDocument/2006/relationships/chart" Target="../charts/chart8.xml"/><Relationship Id="rId16" Type="http://schemas.openxmlformats.org/officeDocument/2006/relationships/image" Target="../media/image10.png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image" Target="../media/image5.png"/><Relationship Id="rId5" Type="http://schemas.openxmlformats.org/officeDocument/2006/relationships/chart" Target="../charts/chart11.xml"/><Relationship Id="rId15" Type="http://schemas.openxmlformats.org/officeDocument/2006/relationships/image" Target="../media/image9.png"/><Relationship Id="rId10" Type="http://schemas.openxmlformats.org/officeDocument/2006/relationships/image" Target="../media/image4.png"/><Relationship Id="rId4" Type="http://schemas.openxmlformats.org/officeDocument/2006/relationships/chart" Target="../charts/chart10.xml"/><Relationship Id="rId9" Type="http://schemas.openxmlformats.org/officeDocument/2006/relationships/image" Target="../media/image3.pn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12</xdr:row>
      <xdr:rowOff>57150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57150</xdr:colOff>
      <xdr:row>96</xdr:row>
      <xdr:rowOff>190500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0</xdr:colOff>
      <xdr:row>127</xdr:row>
      <xdr:rowOff>104775</xdr:rowOff>
    </xdr:from>
    <xdr:ext cx="5715000" cy="404812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161925</xdr:colOff>
      <xdr:row>159</xdr:row>
      <xdr:rowOff>57150</xdr:rowOff>
    </xdr:from>
    <xdr:ext cx="6172200" cy="42291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9525</xdr:colOff>
      <xdr:row>198</xdr:row>
      <xdr:rowOff>0</xdr:rowOff>
    </xdr:from>
    <xdr:ext cx="7334250" cy="5562600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57150</xdr:colOff>
      <xdr:row>233</xdr:row>
      <xdr:rowOff>171450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</xdr:col>
      <xdr:colOff>285750</xdr:colOff>
      <xdr:row>74</xdr:row>
      <xdr:rowOff>190500</xdr:rowOff>
    </xdr:from>
    <xdr:ext cx="3505200" cy="2238375"/>
    <xdr:pic>
      <xdr:nvPicPr>
        <xdr:cNvPr id="4" name="image10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200025</xdr:colOff>
      <xdr:row>75</xdr:row>
      <xdr:rowOff>104775</xdr:rowOff>
    </xdr:from>
    <xdr:ext cx="3267075" cy="2124075"/>
    <xdr:pic>
      <xdr:nvPicPr>
        <xdr:cNvPr id="6" name="image9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</xdr:row>
      <xdr:rowOff>38100</xdr:rowOff>
    </xdr:from>
    <xdr:ext cx="2305050" cy="561975"/>
    <xdr:pic>
      <xdr:nvPicPr>
        <xdr:cNvPr id="8" name="image3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88</xdr:row>
      <xdr:rowOff>85725</xdr:rowOff>
    </xdr:from>
    <xdr:ext cx="3105150" cy="514350"/>
    <xdr:pic>
      <xdr:nvPicPr>
        <xdr:cNvPr id="9" name="image5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117</xdr:row>
      <xdr:rowOff>95250</xdr:rowOff>
    </xdr:from>
    <xdr:ext cx="2895600" cy="638175"/>
    <xdr:pic>
      <xdr:nvPicPr>
        <xdr:cNvPr id="11" name="image6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150</xdr:row>
      <xdr:rowOff>38100</xdr:rowOff>
    </xdr:from>
    <xdr:ext cx="4543425" cy="75247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183</xdr:row>
      <xdr:rowOff>152400</xdr:rowOff>
    </xdr:from>
    <xdr:ext cx="1914525" cy="685800"/>
    <xdr:pic>
      <xdr:nvPicPr>
        <xdr:cNvPr id="14" name="image8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183</xdr:row>
      <xdr:rowOff>19050</xdr:rowOff>
    </xdr:from>
    <xdr:ext cx="2200275" cy="752475"/>
    <xdr:pic>
      <xdr:nvPicPr>
        <xdr:cNvPr id="15" name="image4.png" title="Imag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183</xdr:row>
      <xdr:rowOff>180975</xdr:rowOff>
    </xdr:from>
    <xdr:ext cx="2200275" cy="638175"/>
    <xdr:pic>
      <xdr:nvPicPr>
        <xdr:cNvPr id="16" name="image7.png" title="Imag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184</xdr:row>
      <xdr:rowOff>114300</xdr:rowOff>
    </xdr:from>
    <xdr:ext cx="2943225" cy="361950"/>
    <xdr:pic>
      <xdr:nvPicPr>
        <xdr:cNvPr id="17" name="image2.png" title="Imag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12</xdr:row>
      <xdr:rowOff>57150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0</xdr:colOff>
      <xdr:row>97</xdr:row>
      <xdr:rowOff>114300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0</xdr:colOff>
      <xdr:row>127</xdr:row>
      <xdr:rowOff>104775</xdr:rowOff>
    </xdr:from>
    <xdr:ext cx="5715000" cy="404812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161925</xdr:colOff>
      <xdr:row>159</xdr:row>
      <xdr:rowOff>57150</xdr:rowOff>
    </xdr:from>
    <xdr:ext cx="6172200" cy="4229100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285750</xdr:colOff>
      <xdr:row>197</xdr:row>
      <xdr:rowOff>142875</xdr:rowOff>
    </xdr:from>
    <xdr:ext cx="7105650" cy="537210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0</xdr:colOff>
      <xdr:row>233</xdr:row>
      <xdr:rowOff>95250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</xdr:col>
      <xdr:colOff>285750</xdr:colOff>
      <xdr:row>74</xdr:row>
      <xdr:rowOff>190500</xdr:rowOff>
    </xdr:from>
    <xdr:ext cx="3505200" cy="2238375"/>
    <xdr:pic>
      <xdr:nvPicPr>
        <xdr:cNvPr id="3" name="image10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200025</xdr:colOff>
      <xdr:row>75</xdr:row>
      <xdr:rowOff>104775</xdr:rowOff>
    </xdr:from>
    <xdr:ext cx="3267075" cy="2124075"/>
    <xdr:pic>
      <xdr:nvPicPr>
        <xdr:cNvPr id="5" name="image9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</xdr:row>
      <xdr:rowOff>38100</xdr:rowOff>
    </xdr:from>
    <xdr:ext cx="2305050" cy="561975"/>
    <xdr:pic>
      <xdr:nvPicPr>
        <xdr:cNvPr id="7" name="image3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88</xdr:row>
      <xdr:rowOff>85725</xdr:rowOff>
    </xdr:from>
    <xdr:ext cx="3105150" cy="514350"/>
    <xdr:pic>
      <xdr:nvPicPr>
        <xdr:cNvPr id="10" name="image5.png" title="Imag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117</xdr:row>
      <xdr:rowOff>95250</xdr:rowOff>
    </xdr:from>
    <xdr:ext cx="2895600" cy="638175"/>
    <xdr:pic>
      <xdr:nvPicPr>
        <xdr:cNvPr id="12" name="image6.png" title="Imag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150</xdr:row>
      <xdr:rowOff>38100</xdr:rowOff>
    </xdr:from>
    <xdr:ext cx="4543425" cy="75247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183</xdr:row>
      <xdr:rowOff>152400</xdr:rowOff>
    </xdr:from>
    <xdr:ext cx="1914525" cy="685800"/>
    <xdr:pic>
      <xdr:nvPicPr>
        <xdr:cNvPr id="14" name="image8.png" title="Imag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183</xdr:row>
      <xdr:rowOff>19050</xdr:rowOff>
    </xdr:from>
    <xdr:ext cx="2200275" cy="752475"/>
    <xdr:pic>
      <xdr:nvPicPr>
        <xdr:cNvPr id="15" name="image4.png" title="Imag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183</xdr:row>
      <xdr:rowOff>180975</xdr:rowOff>
    </xdr:from>
    <xdr:ext cx="2200275" cy="638175"/>
    <xdr:pic>
      <xdr:nvPicPr>
        <xdr:cNvPr id="16" name="image7.png" title="Imag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184</xdr:row>
      <xdr:rowOff>114300</xdr:rowOff>
    </xdr:from>
    <xdr:ext cx="2943225" cy="361950"/>
    <xdr:pic>
      <xdr:nvPicPr>
        <xdr:cNvPr id="17" name="image2.png" title="Imag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D76E06-09A8-5943-ACF3-B029BDCEC57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2a58e1d-9ba8-48e4-b156-22641c250a3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236"/>
  <sheetViews>
    <sheetView tabSelected="1" workbookViewId="0">
      <selection activeCell="Y10" sqref="Y10"/>
    </sheetView>
  </sheetViews>
  <sheetFormatPr baseColWidth="10" defaultColWidth="12.6640625" defaultRowHeight="15.75" customHeight="1" x14ac:dyDescent="0.15"/>
  <cols>
    <col min="1" max="42" width="5.33203125" customWidth="1"/>
  </cols>
  <sheetData>
    <row r="1" spans="1:42" ht="15.75" customHeight="1" x14ac:dyDescent="0.1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spans="1:42" ht="15.75" customHeight="1" x14ac:dyDescent="0.15">
      <c r="B3" s="2" t="s">
        <v>1</v>
      </c>
      <c r="C3" s="3">
        <v>5</v>
      </c>
    </row>
    <row r="4" spans="1:42" ht="15.75" customHeight="1" x14ac:dyDescent="0.15">
      <c r="B4" s="4" t="s">
        <v>2</v>
      </c>
      <c r="C4" s="5">
        <f>MAX(0,C9)</f>
        <v>0</v>
      </c>
    </row>
    <row r="6" spans="1:42" ht="15.75" customHeight="1" x14ac:dyDescent="0.15">
      <c r="A6" s="23" t="s">
        <v>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8" spans="1:42" ht="15.75" customHeight="1" x14ac:dyDescent="0.15">
      <c r="B8" s="2" t="s">
        <v>1</v>
      </c>
      <c r="C8" s="6">
        <v>-5</v>
      </c>
      <c r="D8" s="7">
        <f>C8+0.5</f>
        <v>-4.5</v>
      </c>
      <c r="E8" s="7">
        <f>D8+0.5</f>
        <v>-4</v>
      </c>
      <c r="F8" s="7">
        <f>E8+0.5</f>
        <v>-3.5</v>
      </c>
      <c r="G8" s="7">
        <f>F8+0.5</f>
        <v>-3</v>
      </c>
      <c r="H8" s="7">
        <f>G8+0.5</f>
        <v>-2.5</v>
      </c>
      <c r="I8" s="7">
        <f>H8+0.5</f>
        <v>-2</v>
      </c>
      <c r="J8" s="7">
        <f>I8+0.5</f>
        <v>-1.5</v>
      </c>
      <c r="K8" s="7">
        <f>J8+0.5</f>
        <v>-1</v>
      </c>
      <c r="L8" s="7">
        <f>K8+0.5</f>
        <v>-0.5</v>
      </c>
      <c r="M8" s="7">
        <f>L8+0.5</f>
        <v>0</v>
      </c>
      <c r="N8" s="7">
        <f>M8+0.5</f>
        <v>0.5</v>
      </c>
      <c r="O8" s="7">
        <f>N8+0.5</f>
        <v>1</v>
      </c>
      <c r="P8" s="7">
        <f>O8+0.5</f>
        <v>1.5</v>
      </c>
      <c r="Q8" s="7">
        <f>P8+0.5</f>
        <v>2</v>
      </c>
      <c r="R8" s="7">
        <f>Q8+0.5</f>
        <v>2.5</v>
      </c>
      <c r="S8" s="7">
        <f>R8+0.5</f>
        <v>3</v>
      </c>
      <c r="T8" s="7">
        <f>S8+0.5</f>
        <v>3.5</v>
      </c>
      <c r="U8" s="7">
        <f>T8+0.5</f>
        <v>4</v>
      </c>
      <c r="V8" s="7">
        <f>U8+0.5</f>
        <v>4.5</v>
      </c>
    </row>
    <row r="9" spans="1:42" ht="15.75" customHeight="1" x14ac:dyDescent="0.15">
      <c r="B9" s="4" t="s">
        <v>2</v>
      </c>
      <c r="C9" s="5">
        <f>MAX(0,C8)</f>
        <v>0</v>
      </c>
      <c r="D9" s="5">
        <f t="shared" ref="D9:V9" si="0">MAX(0,D8)</f>
        <v>0</v>
      </c>
      <c r="E9" s="5">
        <f t="shared" si="0"/>
        <v>0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0"/>
        <v>0.5</v>
      </c>
      <c r="O9" s="5">
        <f t="shared" si="0"/>
        <v>1</v>
      </c>
      <c r="P9" s="5">
        <f t="shared" si="0"/>
        <v>1.5</v>
      </c>
      <c r="Q9" s="5">
        <f t="shared" si="0"/>
        <v>2</v>
      </c>
      <c r="R9" s="5">
        <f t="shared" si="0"/>
        <v>2.5</v>
      </c>
      <c r="S9" s="5">
        <f t="shared" si="0"/>
        <v>3</v>
      </c>
      <c r="T9" s="5">
        <f t="shared" si="0"/>
        <v>3.5</v>
      </c>
      <c r="U9" s="5">
        <f t="shared" si="0"/>
        <v>4</v>
      </c>
      <c r="V9" s="5">
        <f t="shared" si="0"/>
        <v>4.5</v>
      </c>
    </row>
    <row r="11" spans="1:42" ht="15.75" customHeight="1" x14ac:dyDescent="0.15">
      <c r="A11" s="23" t="s">
        <v>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32" spans="1:42" ht="15.75" customHeight="1" x14ac:dyDescent="0.15">
      <c r="A32" s="23" t="s">
        <v>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4" spans="2:22" ht="15.75" customHeight="1" x14ac:dyDescent="0.15">
      <c r="B34" s="8" t="s">
        <v>1</v>
      </c>
      <c r="C34" s="9">
        <v>-5</v>
      </c>
      <c r="D34" s="10">
        <f>C34+0.5</f>
        <v>-4.5</v>
      </c>
      <c r="E34" s="10">
        <f t="shared" ref="E34:V34" si="1">D34+0.5</f>
        <v>-4</v>
      </c>
      <c r="F34" s="10">
        <f t="shared" si="1"/>
        <v>-3.5</v>
      </c>
      <c r="G34" s="10">
        <f t="shared" si="1"/>
        <v>-3</v>
      </c>
      <c r="H34" s="10">
        <f t="shared" si="1"/>
        <v>-2.5</v>
      </c>
      <c r="I34" s="10">
        <f t="shared" si="1"/>
        <v>-2</v>
      </c>
      <c r="J34" s="10">
        <f t="shared" si="1"/>
        <v>-1.5</v>
      </c>
      <c r="K34" s="10">
        <f t="shared" si="1"/>
        <v>-1</v>
      </c>
      <c r="L34" s="10">
        <f t="shared" si="1"/>
        <v>-0.5</v>
      </c>
      <c r="M34" s="10">
        <f t="shared" si="1"/>
        <v>0</v>
      </c>
      <c r="N34" s="10">
        <f t="shared" si="1"/>
        <v>0.5</v>
      </c>
      <c r="O34" s="10">
        <f t="shared" si="1"/>
        <v>1</v>
      </c>
      <c r="P34" s="10">
        <f t="shared" si="1"/>
        <v>1.5</v>
      </c>
      <c r="Q34" s="10">
        <f t="shared" si="1"/>
        <v>2</v>
      </c>
      <c r="R34" s="10">
        <f t="shared" si="1"/>
        <v>2.5</v>
      </c>
      <c r="S34" s="10">
        <f t="shared" si="1"/>
        <v>3</v>
      </c>
      <c r="T34" s="10">
        <f t="shared" si="1"/>
        <v>3.5</v>
      </c>
      <c r="U34" s="10">
        <f t="shared" si="1"/>
        <v>4</v>
      </c>
      <c r="V34" s="10">
        <f t="shared" si="1"/>
        <v>4.5</v>
      </c>
    </row>
    <row r="35" spans="2:22" ht="15.75" customHeight="1" x14ac:dyDescent="0.15">
      <c r="B35" s="4"/>
      <c r="C35" s="9">
        <v>-5</v>
      </c>
      <c r="D35" s="6">
        <f t="shared" ref="D35:V35" si="2">D$34+$C35</f>
        <v>-9.5</v>
      </c>
      <c r="E35" s="6">
        <f t="shared" si="2"/>
        <v>-9</v>
      </c>
      <c r="F35" s="6">
        <f t="shared" si="2"/>
        <v>-8.5</v>
      </c>
      <c r="G35" s="6">
        <f t="shared" si="2"/>
        <v>-8</v>
      </c>
      <c r="H35" s="6">
        <f t="shared" si="2"/>
        <v>-7.5</v>
      </c>
      <c r="I35" s="6">
        <f t="shared" si="2"/>
        <v>-7</v>
      </c>
      <c r="J35" s="6">
        <f t="shared" si="2"/>
        <v>-6.5</v>
      </c>
      <c r="K35" s="6">
        <f t="shared" si="2"/>
        <v>-6</v>
      </c>
      <c r="L35" s="6">
        <f t="shared" si="2"/>
        <v>-5.5</v>
      </c>
      <c r="M35" s="6">
        <f t="shared" si="2"/>
        <v>-5</v>
      </c>
      <c r="N35" s="6">
        <f t="shared" si="2"/>
        <v>-4.5</v>
      </c>
      <c r="O35" s="6">
        <f t="shared" si="2"/>
        <v>-4</v>
      </c>
      <c r="P35" s="6">
        <f t="shared" si="2"/>
        <v>-3.5</v>
      </c>
      <c r="Q35" s="6">
        <f t="shared" si="2"/>
        <v>-3</v>
      </c>
      <c r="R35" s="6">
        <f t="shared" si="2"/>
        <v>-2.5</v>
      </c>
      <c r="S35" s="6">
        <f t="shared" si="2"/>
        <v>-2</v>
      </c>
      <c r="T35" s="6">
        <f t="shared" si="2"/>
        <v>-1.5</v>
      </c>
      <c r="U35" s="6">
        <f t="shared" si="2"/>
        <v>-1</v>
      </c>
      <c r="V35" s="6">
        <f t="shared" si="2"/>
        <v>-0.5</v>
      </c>
    </row>
    <row r="36" spans="2:22" ht="15.75" customHeight="1" x14ac:dyDescent="0.15">
      <c r="C36" s="9">
        <f>C35+0.5</f>
        <v>-4.5</v>
      </c>
      <c r="D36" s="6">
        <f t="shared" ref="D36:V36" si="3">D$34+$C36</f>
        <v>-9</v>
      </c>
      <c r="E36" s="6">
        <f t="shared" si="3"/>
        <v>-8.5</v>
      </c>
      <c r="F36" s="6">
        <f t="shared" si="3"/>
        <v>-8</v>
      </c>
      <c r="G36" s="6">
        <f t="shared" si="3"/>
        <v>-7.5</v>
      </c>
      <c r="H36" s="6">
        <f t="shared" si="3"/>
        <v>-7</v>
      </c>
      <c r="I36" s="6">
        <f t="shared" si="3"/>
        <v>-6.5</v>
      </c>
      <c r="J36" s="6">
        <f t="shared" si="3"/>
        <v>-6</v>
      </c>
      <c r="K36" s="6">
        <f t="shared" si="3"/>
        <v>-5.5</v>
      </c>
      <c r="L36" s="6">
        <f t="shared" si="3"/>
        <v>-5</v>
      </c>
      <c r="M36" s="6">
        <f t="shared" si="3"/>
        <v>-4.5</v>
      </c>
      <c r="N36" s="6">
        <f t="shared" si="3"/>
        <v>-4</v>
      </c>
      <c r="O36" s="6">
        <f t="shared" si="3"/>
        <v>-3.5</v>
      </c>
      <c r="P36" s="6">
        <f t="shared" si="3"/>
        <v>-3</v>
      </c>
      <c r="Q36" s="6">
        <f t="shared" si="3"/>
        <v>-2.5</v>
      </c>
      <c r="R36" s="6">
        <f t="shared" si="3"/>
        <v>-2</v>
      </c>
      <c r="S36" s="6">
        <f t="shared" si="3"/>
        <v>-1.5</v>
      </c>
      <c r="T36" s="6">
        <f t="shared" si="3"/>
        <v>-1</v>
      </c>
      <c r="U36" s="6">
        <f t="shared" si="3"/>
        <v>-0.5</v>
      </c>
      <c r="V36" s="6">
        <f t="shared" si="3"/>
        <v>0</v>
      </c>
    </row>
    <row r="37" spans="2:22" ht="15.75" customHeight="1" x14ac:dyDescent="0.15">
      <c r="C37" s="9">
        <f>C36+0.5</f>
        <v>-4</v>
      </c>
      <c r="D37" s="6">
        <f t="shared" ref="D37:V37" si="4">D$34+$C37</f>
        <v>-8.5</v>
      </c>
      <c r="E37" s="6">
        <f t="shared" si="4"/>
        <v>-8</v>
      </c>
      <c r="F37" s="6">
        <f t="shared" si="4"/>
        <v>-7.5</v>
      </c>
      <c r="G37" s="6">
        <f t="shared" si="4"/>
        <v>-7</v>
      </c>
      <c r="H37" s="6">
        <f t="shared" si="4"/>
        <v>-6.5</v>
      </c>
      <c r="I37" s="6">
        <f t="shared" si="4"/>
        <v>-6</v>
      </c>
      <c r="J37" s="6">
        <f t="shared" si="4"/>
        <v>-5.5</v>
      </c>
      <c r="K37" s="6">
        <f t="shared" si="4"/>
        <v>-5</v>
      </c>
      <c r="L37" s="6">
        <f t="shared" si="4"/>
        <v>-4.5</v>
      </c>
      <c r="M37" s="6">
        <f t="shared" si="4"/>
        <v>-4</v>
      </c>
      <c r="N37" s="6">
        <f t="shared" si="4"/>
        <v>-3.5</v>
      </c>
      <c r="O37" s="6">
        <f t="shared" si="4"/>
        <v>-3</v>
      </c>
      <c r="P37" s="6">
        <f t="shared" si="4"/>
        <v>-2.5</v>
      </c>
      <c r="Q37" s="6">
        <f t="shared" si="4"/>
        <v>-2</v>
      </c>
      <c r="R37" s="6">
        <f t="shared" si="4"/>
        <v>-1.5</v>
      </c>
      <c r="S37" s="6">
        <f t="shared" si="4"/>
        <v>-1</v>
      </c>
      <c r="T37" s="6">
        <f t="shared" si="4"/>
        <v>-0.5</v>
      </c>
      <c r="U37" s="6">
        <f t="shared" si="4"/>
        <v>0</v>
      </c>
      <c r="V37" s="6">
        <f t="shared" si="4"/>
        <v>0.5</v>
      </c>
    </row>
    <row r="38" spans="2:22" ht="15.75" customHeight="1" x14ac:dyDescent="0.15">
      <c r="C38" s="9">
        <f>C37+0.5</f>
        <v>-3.5</v>
      </c>
      <c r="D38" s="6">
        <f t="shared" ref="D38:V38" si="5">D$34+$C38</f>
        <v>-8</v>
      </c>
      <c r="E38" s="6">
        <f t="shared" si="5"/>
        <v>-7.5</v>
      </c>
      <c r="F38" s="6">
        <f t="shared" si="5"/>
        <v>-7</v>
      </c>
      <c r="G38" s="6">
        <f t="shared" si="5"/>
        <v>-6.5</v>
      </c>
      <c r="H38" s="6">
        <f t="shared" si="5"/>
        <v>-6</v>
      </c>
      <c r="I38" s="6">
        <f t="shared" si="5"/>
        <v>-5.5</v>
      </c>
      <c r="J38" s="6">
        <f t="shared" si="5"/>
        <v>-5</v>
      </c>
      <c r="K38" s="6">
        <f t="shared" si="5"/>
        <v>-4.5</v>
      </c>
      <c r="L38" s="6">
        <f t="shared" si="5"/>
        <v>-4</v>
      </c>
      <c r="M38" s="6">
        <f t="shared" si="5"/>
        <v>-3.5</v>
      </c>
      <c r="N38" s="6">
        <f t="shared" si="5"/>
        <v>-3</v>
      </c>
      <c r="O38" s="6">
        <f t="shared" si="5"/>
        <v>-2.5</v>
      </c>
      <c r="P38" s="6">
        <f t="shared" si="5"/>
        <v>-2</v>
      </c>
      <c r="Q38" s="6">
        <f t="shared" si="5"/>
        <v>-1.5</v>
      </c>
      <c r="R38" s="6">
        <f t="shared" si="5"/>
        <v>-1</v>
      </c>
      <c r="S38" s="6">
        <f t="shared" si="5"/>
        <v>-0.5</v>
      </c>
      <c r="T38" s="6">
        <f t="shared" si="5"/>
        <v>0</v>
      </c>
      <c r="U38" s="6">
        <f t="shared" si="5"/>
        <v>0.5</v>
      </c>
      <c r="V38" s="6">
        <f t="shared" si="5"/>
        <v>1</v>
      </c>
    </row>
    <row r="39" spans="2:22" ht="15.75" customHeight="1" x14ac:dyDescent="0.15">
      <c r="C39" s="9">
        <f>C38+0.5</f>
        <v>-3</v>
      </c>
      <c r="D39" s="6">
        <f t="shared" ref="D39:V39" si="6">D$34+$C39</f>
        <v>-7.5</v>
      </c>
      <c r="E39" s="6">
        <f t="shared" si="6"/>
        <v>-7</v>
      </c>
      <c r="F39" s="6">
        <f t="shared" si="6"/>
        <v>-6.5</v>
      </c>
      <c r="G39" s="6">
        <f t="shared" si="6"/>
        <v>-6</v>
      </c>
      <c r="H39" s="6">
        <f t="shared" si="6"/>
        <v>-5.5</v>
      </c>
      <c r="I39" s="6">
        <f t="shared" si="6"/>
        <v>-5</v>
      </c>
      <c r="J39" s="6">
        <f t="shared" si="6"/>
        <v>-4.5</v>
      </c>
      <c r="K39" s="6">
        <f t="shared" si="6"/>
        <v>-4</v>
      </c>
      <c r="L39" s="6">
        <f t="shared" si="6"/>
        <v>-3.5</v>
      </c>
      <c r="M39" s="6">
        <f t="shared" si="6"/>
        <v>-3</v>
      </c>
      <c r="N39" s="6">
        <f t="shared" si="6"/>
        <v>-2.5</v>
      </c>
      <c r="O39" s="6">
        <f t="shared" si="6"/>
        <v>-2</v>
      </c>
      <c r="P39" s="6">
        <f t="shared" si="6"/>
        <v>-1.5</v>
      </c>
      <c r="Q39" s="6">
        <f t="shared" si="6"/>
        <v>-1</v>
      </c>
      <c r="R39" s="6">
        <f t="shared" si="6"/>
        <v>-0.5</v>
      </c>
      <c r="S39" s="6">
        <f t="shared" si="6"/>
        <v>0</v>
      </c>
      <c r="T39" s="6">
        <f t="shared" si="6"/>
        <v>0.5</v>
      </c>
      <c r="U39" s="6">
        <f t="shared" si="6"/>
        <v>1</v>
      </c>
      <c r="V39" s="6">
        <f t="shared" si="6"/>
        <v>1.5</v>
      </c>
    </row>
    <row r="40" spans="2:22" ht="15.75" customHeight="1" x14ac:dyDescent="0.15">
      <c r="C40" s="9">
        <f>C39+0.5</f>
        <v>-2.5</v>
      </c>
      <c r="D40" s="6">
        <f t="shared" ref="D40:V40" si="7">D$34+$C40</f>
        <v>-7</v>
      </c>
      <c r="E40" s="6">
        <f t="shared" si="7"/>
        <v>-6.5</v>
      </c>
      <c r="F40" s="6">
        <f t="shared" si="7"/>
        <v>-6</v>
      </c>
      <c r="G40" s="6">
        <f t="shared" si="7"/>
        <v>-5.5</v>
      </c>
      <c r="H40" s="6">
        <f t="shared" si="7"/>
        <v>-5</v>
      </c>
      <c r="I40" s="6">
        <f t="shared" si="7"/>
        <v>-4.5</v>
      </c>
      <c r="J40" s="6">
        <f t="shared" si="7"/>
        <v>-4</v>
      </c>
      <c r="K40" s="6">
        <f t="shared" si="7"/>
        <v>-3.5</v>
      </c>
      <c r="L40" s="6">
        <f t="shared" si="7"/>
        <v>-3</v>
      </c>
      <c r="M40" s="6">
        <f t="shared" si="7"/>
        <v>-2.5</v>
      </c>
      <c r="N40" s="6">
        <f t="shared" si="7"/>
        <v>-2</v>
      </c>
      <c r="O40" s="6">
        <f t="shared" si="7"/>
        <v>-1.5</v>
      </c>
      <c r="P40" s="6">
        <f t="shared" si="7"/>
        <v>-1</v>
      </c>
      <c r="Q40" s="6">
        <f t="shared" si="7"/>
        <v>-0.5</v>
      </c>
      <c r="R40" s="6">
        <f t="shared" si="7"/>
        <v>0</v>
      </c>
      <c r="S40" s="6">
        <f t="shared" si="7"/>
        <v>0.5</v>
      </c>
      <c r="T40" s="6">
        <f t="shared" si="7"/>
        <v>1</v>
      </c>
      <c r="U40" s="6">
        <f t="shared" si="7"/>
        <v>1.5</v>
      </c>
      <c r="V40" s="6">
        <f t="shared" si="7"/>
        <v>2</v>
      </c>
    </row>
    <row r="41" spans="2:22" ht="15.75" customHeight="1" x14ac:dyDescent="0.15">
      <c r="C41" s="9">
        <f>C40+0.5</f>
        <v>-2</v>
      </c>
      <c r="D41" s="6">
        <f t="shared" ref="D41:V41" si="8">D$34+$C41</f>
        <v>-6.5</v>
      </c>
      <c r="E41" s="6">
        <f t="shared" si="8"/>
        <v>-6</v>
      </c>
      <c r="F41" s="6">
        <f t="shared" si="8"/>
        <v>-5.5</v>
      </c>
      <c r="G41" s="6">
        <f t="shared" si="8"/>
        <v>-5</v>
      </c>
      <c r="H41" s="6">
        <f t="shared" si="8"/>
        <v>-4.5</v>
      </c>
      <c r="I41" s="6">
        <f t="shared" si="8"/>
        <v>-4</v>
      </c>
      <c r="J41" s="6">
        <f t="shared" si="8"/>
        <v>-3.5</v>
      </c>
      <c r="K41" s="6">
        <f t="shared" si="8"/>
        <v>-3</v>
      </c>
      <c r="L41" s="6">
        <f t="shared" si="8"/>
        <v>-2.5</v>
      </c>
      <c r="M41" s="6">
        <f t="shared" si="8"/>
        <v>-2</v>
      </c>
      <c r="N41" s="6">
        <f t="shared" si="8"/>
        <v>-1.5</v>
      </c>
      <c r="O41" s="6">
        <f t="shared" si="8"/>
        <v>-1</v>
      </c>
      <c r="P41" s="6">
        <f t="shared" si="8"/>
        <v>-0.5</v>
      </c>
      <c r="Q41" s="6">
        <f t="shared" si="8"/>
        <v>0</v>
      </c>
      <c r="R41" s="6">
        <f t="shared" si="8"/>
        <v>0.5</v>
      </c>
      <c r="S41" s="6">
        <f t="shared" si="8"/>
        <v>1</v>
      </c>
      <c r="T41" s="6">
        <f t="shared" si="8"/>
        <v>1.5</v>
      </c>
      <c r="U41" s="6">
        <f t="shared" si="8"/>
        <v>2</v>
      </c>
      <c r="V41" s="6">
        <f t="shared" si="8"/>
        <v>2.5</v>
      </c>
    </row>
    <row r="42" spans="2:22" ht="15.75" customHeight="1" x14ac:dyDescent="0.15">
      <c r="C42" s="9">
        <f>C41+0.5</f>
        <v>-1.5</v>
      </c>
      <c r="D42" s="6">
        <f t="shared" ref="D42:V42" si="9">D$34+$C42</f>
        <v>-6</v>
      </c>
      <c r="E42" s="6">
        <f t="shared" si="9"/>
        <v>-5.5</v>
      </c>
      <c r="F42" s="6">
        <f t="shared" si="9"/>
        <v>-5</v>
      </c>
      <c r="G42" s="6">
        <f t="shared" si="9"/>
        <v>-4.5</v>
      </c>
      <c r="H42" s="6">
        <f t="shared" si="9"/>
        <v>-4</v>
      </c>
      <c r="I42" s="6">
        <f t="shared" si="9"/>
        <v>-3.5</v>
      </c>
      <c r="J42" s="6">
        <f t="shared" si="9"/>
        <v>-3</v>
      </c>
      <c r="K42" s="6">
        <f t="shared" si="9"/>
        <v>-2.5</v>
      </c>
      <c r="L42" s="6">
        <f t="shared" si="9"/>
        <v>-2</v>
      </c>
      <c r="M42" s="6">
        <f t="shared" si="9"/>
        <v>-1.5</v>
      </c>
      <c r="N42" s="6">
        <f t="shared" si="9"/>
        <v>-1</v>
      </c>
      <c r="O42" s="6">
        <f t="shared" si="9"/>
        <v>-0.5</v>
      </c>
      <c r="P42" s="6">
        <f t="shared" si="9"/>
        <v>0</v>
      </c>
      <c r="Q42" s="6">
        <f t="shared" si="9"/>
        <v>0.5</v>
      </c>
      <c r="R42" s="6">
        <f t="shared" si="9"/>
        <v>1</v>
      </c>
      <c r="S42" s="6">
        <f t="shared" si="9"/>
        <v>1.5</v>
      </c>
      <c r="T42" s="6">
        <f t="shared" si="9"/>
        <v>2</v>
      </c>
      <c r="U42" s="6">
        <f t="shared" si="9"/>
        <v>2.5</v>
      </c>
      <c r="V42" s="6">
        <f t="shared" si="9"/>
        <v>3</v>
      </c>
    </row>
    <row r="43" spans="2:22" ht="15.75" customHeight="1" x14ac:dyDescent="0.15">
      <c r="C43" s="9">
        <f>C42+0.5</f>
        <v>-1</v>
      </c>
      <c r="D43" s="6">
        <f t="shared" ref="D43:V43" si="10">D$34+$C43</f>
        <v>-5.5</v>
      </c>
      <c r="E43" s="6">
        <f t="shared" si="10"/>
        <v>-5</v>
      </c>
      <c r="F43" s="6">
        <f t="shared" si="10"/>
        <v>-4.5</v>
      </c>
      <c r="G43" s="6">
        <f t="shared" si="10"/>
        <v>-4</v>
      </c>
      <c r="H43" s="6">
        <f t="shared" si="10"/>
        <v>-3.5</v>
      </c>
      <c r="I43" s="6">
        <f t="shared" si="10"/>
        <v>-3</v>
      </c>
      <c r="J43" s="6">
        <f t="shared" si="10"/>
        <v>-2.5</v>
      </c>
      <c r="K43" s="6">
        <f t="shared" si="10"/>
        <v>-2</v>
      </c>
      <c r="L43" s="6">
        <f t="shared" si="10"/>
        <v>-1.5</v>
      </c>
      <c r="M43" s="6">
        <f t="shared" si="10"/>
        <v>-1</v>
      </c>
      <c r="N43" s="6">
        <f t="shared" si="10"/>
        <v>-0.5</v>
      </c>
      <c r="O43" s="6">
        <f t="shared" si="10"/>
        <v>0</v>
      </c>
      <c r="P43" s="6">
        <f t="shared" si="10"/>
        <v>0.5</v>
      </c>
      <c r="Q43" s="6">
        <f t="shared" si="10"/>
        <v>1</v>
      </c>
      <c r="R43" s="6">
        <f t="shared" si="10"/>
        <v>1.5</v>
      </c>
      <c r="S43" s="6">
        <f t="shared" si="10"/>
        <v>2</v>
      </c>
      <c r="T43" s="6">
        <f t="shared" si="10"/>
        <v>2.5</v>
      </c>
      <c r="U43" s="6">
        <f t="shared" si="10"/>
        <v>3</v>
      </c>
      <c r="V43" s="6">
        <f t="shared" si="10"/>
        <v>3.5</v>
      </c>
    </row>
    <row r="44" spans="2:22" ht="15.75" customHeight="1" x14ac:dyDescent="0.15">
      <c r="C44" s="9">
        <f>C43+0.5</f>
        <v>-0.5</v>
      </c>
      <c r="D44" s="6">
        <f t="shared" ref="D44:V44" si="11">D$34+$C44</f>
        <v>-5</v>
      </c>
      <c r="E44" s="6">
        <f t="shared" si="11"/>
        <v>-4.5</v>
      </c>
      <c r="F44" s="6">
        <f t="shared" si="11"/>
        <v>-4</v>
      </c>
      <c r="G44" s="6">
        <f t="shared" si="11"/>
        <v>-3.5</v>
      </c>
      <c r="H44" s="6">
        <f t="shared" si="11"/>
        <v>-3</v>
      </c>
      <c r="I44" s="6">
        <f t="shared" si="11"/>
        <v>-2.5</v>
      </c>
      <c r="J44" s="6">
        <f t="shared" si="11"/>
        <v>-2</v>
      </c>
      <c r="K44" s="6">
        <f t="shared" si="11"/>
        <v>-1.5</v>
      </c>
      <c r="L44" s="6">
        <f t="shared" si="11"/>
        <v>-1</v>
      </c>
      <c r="M44" s="6">
        <f t="shared" si="11"/>
        <v>-0.5</v>
      </c>
      <c r="N44" s="6">
        <f t="shared" si="11"/>
        <v>0</v>
      </c>
      <c r="O44" s="6">
        <f t="shared" si="11"/>
        <v>0.5</v>
      </c>
      <c r="P44" s="6">
        <f t="shared" si="11"/>
        <v>1</v>
      </c>
      <c r="Q44" s="6">
        <f t="shared" si="11"/>
        <v>1.5</v>
      </c>
      <c r="R44" s="6">
        <f t="shared" si="11"/>
        <v>2</v>
      </c>
      <c r="S44" s="6">
        <f t="shared" si="11"/>
        <v>2.5</v>
      </c>
      <c r="T44" s="6">
        <f t="shared" si="11"/>
        <v>3</v>
      </c>
      <c r="U44" s="6">
        <f t="shared" si="11"/>
        <v>3.5</v>
      </c>
      <c r="V44" s="6">
        <f t="shared" si="11"/>
        <v>4</v>
      </c>
    </row>
    <row r="45" spans="2:22" ht="15.75" customHeight="1" x14ac:dyDescent="0.15">
      <c r="C45" s="9">
        <f>C44+0.5</f>
        <v>0</v>
      </c>
      <c r="D45" s="6">
        <f t="shared" ref="D45:V45" si="12">D$34+$C45</f>
        <v>-4.5</v>
      </c>
      <c r="E45" s="6">
        <f t="shared" si="12"/>
        <v>-4</v>
      </c>
      <c r="F45" s="6">
        <f t="shared" si="12"/>
        <v>-3.5</v>
      </c>
      <c r="G45" s="6">
        <f t="shared" si="12"/>
        <v>-3</v>
      </c>
      <c r="H45" s="6">
        <f t="shared" si="12"/>
        <v>-2.5</v>
      </c>
      <c r="I45" s="6">
        <f t="shared" si="12"/>
        <v>-2</v>
      </c>
      <c r="J45" s="6">
        <f t="shared" si="12"/>
        <v>-1.5</v>
      </c>
      <c r="K45" s="6">
        <f t="shared" si="12"/>
        <v>-1</v>
      </c>
      <c r="L45" s="6">
        <f t="shared" si="12"/>
        <v>-0.5</v>
      </c>
      <c r="M45" s="6">
        <f t="shared" si="12"/>
        <v>0</v>
      </c>
      <c r="N45" s="6">
        <f t="shared" si="12"/>
        <v>0.5</v>
      </c>
      <c r="O45" s="6">
        <f t="shared" si="12"/>
        <v>1</v>
      </c>
      <c r="P45" s="6">
        <f t="shared" si="12"/>
        <v>1.5</v>
      </c>
      <c r="Q45" s="6">
        <f t="shared" si="12"/>
        <v>2</v>
      </c>
      <c r="R45" s="6">
        <f t="shared" si="12"/>
        <v>2.5</v>
      </c>
      <c r="S45" s="6">
        <f t="shared" si="12"/>
        <v>3</v>
      </c>
      <c r="T45" s="6">
        <f t="shared" si="12"/>
        <v>3.5</v>
      </c>
      <c r="U45" s="6">
        <f t="shared" si="12"/>
        <v>4</v>
      </c>
      <c r="V45" s="6">
        <f t="shared" si="12"/>
        <v>4.5</v>
      </c>
    </row>
    <row r="46" spans="2:22" ht="15.75" customHeight="1" x14ac:dyDescent="0.15">
      <c r="C46" s="9">
        <f>C45+0.5</f>
        <v>0.5</v>
      </c>
      <c r="D46" s="6">
        <f t="shared" ref="D46:V46" si="13">D$34+$C46</f>
        <v>-4</v>
      </c>
      <c r="E46" s="6">
        <f t="shared" si="13"/>
        <v>-3.5</v>
      </c>
      <c r="F46" s="6">
        <f t="shared" si="13"/>
        <v>-3</v>
      </c>
      <c r="G46" s="6">
        <f t="shared" si="13"/>
        <v>-2.5</v>
      </c>
      <c r="H46" s="6">
        <f t="shared" si="13"/>
        <v>-2</v>
      </c>
      <c r="I46" s="6">
        <f t="shared" si="13"/>
        <v>-1.5</v>
      </c>
      <c r="J46" s="6">
        <f t="shared" si="13"/>
        <v>-1</v>
      </c>
      <c r="K46" s="6">
        <f t="shared" si="13"/>
        <v>-0.5</v>
      </c>
      <c r="L46" s="6">
        <f t="shared" si="13"/>
        <v>0</v>
      </c>
      <c r="M46" s="6">
        <f t="shared" si="13"/>
        <v>0.5</v>
      </c>
      <c r="N46" s="6">
        <f t="shared" si="13"/>
        <v>1</v>
      </c>
      <c r="O46" s="6">
        <f t="shared" si="13"/>
        <v>1.5</v>
      </c>
      <c r="P46" s="6">
        <f t="shared" si="13"/>
        <v>2</v>
      </c>
      <c r="Q46" s="6">
        <f t="shared" si="13"/>
        <v>2.5</v>
      </c>
      <c r="R46" s="6">
        <f t="shared" si="13"/>
        <v>3</v>
      </c>
      <c r="S46" s="6">
        <f t="shared" si="13"/>
        <v>3.5</v>
      </c>
      <c r="T46" s="6">
        <f t="shared" si="13"/>
        <v>4</v>
      </c>
      <c r="U46" s="6">
        <f t="shared" si="13"/>
        <v>4.5</v>
      </c>
      <c r="V46" s="6">
        <f t="shared" si="13"/>
        <v>5</v>
      </c>
    </row>
    <row r="47" spans="2:22" ht="15.75" customHeight="1" x14ac:dyDescent="0.15">
      <c r="C47" s="9">
        <f>C46+0.5</f>
        <v>1</v>
      </c>
      <c r="D47" s="6">
        <f t="shared" ref="D47:V47" si="14">D$34+$C47</f>
        <v>-3.5</v>
      </c>
      <c r="E47" s="6">
        <f t="shared" si="14"/>
        <v>-3</v>
      </c>
      <c r="F47" s="6">
        <f t="shared" si="14"/>
        <v>-2.5</v>
      </c>
      <c r="G47" s="6">
        <f t="shared" si="14"/>
        <v>-2</v>
      </c>
      <c r="H47" s="6">
        <f t="shared" si="14"/>
        <v>-1.5</v>
      </c>
      <c r="I47" s="6">
        <f t="shared" si="14"/>
        <v>-1</v>
      </c>
      <c r="J47" s="6">
        <f t="shared" si="14"/>
        <v>-0.5</v>
      </c>
      <c r="K47" s="6">
        <f t="shared" si="14"/>
        <v>0</v>
      </c>
      <c r="L47" s="6">
        <f t="shared" si="14"/>
        <v>0.5</v>
      </c>
      <c r="M47" s="6">
        <f t="shared" si="14"/>
        <v>1</v>
      </c>
      <c r="N47" s="6">
        <f t="shared" si="14"/>
        <v>1.5</v>
      </c>
      <c r="O47" s="6">
        <f t="shared" si="14"/>
        <v>2</v>
      </c>
      <c r="P47" s="6">
        <f t="shared" si="14"/>
        <v>2.5</v>
      </c>
      <c r="Q47" s="6">
        <f t="shared" si="14"/>
        <v>3</v>
      </c>
      <c r="R47" s="6">
        <f t="shared" si="14"/>
        <v>3.5</v>
      </c>
      <c r="S47" s="6">
        <f t="shared" si="14"/>
        <v>4</v>
      </c>
      <c r="T47" s="6">
        <f t="shared" si="14"/>
        <v>4.5</v>
      </c>
      <c r="U47" s="6">
        <f t="shared" si="14"/>
        <v>5</v>
      </c>
      <c r="V47" s="6">
        <f t="shared" si="14"/>
        <v>5.5</v>
      </c>
    </row>
    <row r="48" spans="2:22" ht="15.75" customHeight="1" x14ac:dyDescent="0.15">
      <c r="C48" s="9">
        <f>C47+0.5</f>
        <v>1.5</v>
      </c>
      <c r="D48" s="6">
        <f t="shared" ref="D48:V48" si="15">D$34+$C48</f>
        <v>-3</v>
      </c>
      <c r="E48" s="6">
        <f t="shared" si="15"/>
        <v>-2.5</v>
      </c>
      <c r="F48" s="6">
        <f t="shared" si="15"/>
        <v>-2</v>
      </c>
      <c r="G48" s="6">
        <f t="shared" si="15"/>
        <v>-1.5</v>
      </c>
      <c r="H48" s="6">
        <f t="shared" si="15"/>
        <v>-1</v>
      </c>
      <c r="I48" s="6">
        <f t="shared" si="15"/>
        <v>-0.5</v>
      </c>
      <c r="J48" s="6">
        <f t="shared" si="15"/>
        <v>0</v>
      </c>
      <c r="K48" s="6">
        <f t="shared" si="15"/>
        <v>0.5</v>
      </c>
      <c r="L48" s="6">
        <f t="shared" si="15"/>
        <v>1</v>
      </c>
      <c r="M48" s="6">
        <f t="shared" si="15"/>
        <v>1.5</v>
      </c>
      <c r="N48" s="6">
        <f t="shared" si="15"/>
        <v>2</v>
      </c>
      <c r="O48" s="6">
        <f t="shared" si="15"/>
        <v>2.5</v>
      </c>
      <c r="P48" s="6">
        <f t="shared" si="15"/>
        <v>3</v>
      </c>
      <c r="Q48" s="6">
        <f t="shared" si="15"/>
        <v>3.5</v>
      </c>
      <c r="R48" s="6">
        <f t="shared" si="15"/>
        <v>4</v>
      </c>
      <c r="S48" s="6">
        <f t="shared" si="15"/>
        <v>4.5</v>
      </c>
      <c r="T48" s="6">
        <f t="shared" si="15"/>
        <v>5</v>
      </c>
      <c r="U48" s="6">
        <f t="shared" si="15"/>
        <v>5.5</v>
      </c>
      <c r="V48" s="6">
        <f t="shared" si="15"/>
        <v>6</v>
      </c>
    </row>
    <row r="49" spans="2:22" ht="15.75" customHeight="1" x14ac:dyDescent="0.15">
      <c r="C49" s="9">
        <f>C48+0.5</f>
        <v>2</v>
      </c>
      <c r="D49" s="6">
        <f t="shared" ref="D49:V49" si="16">D$34+$C49</f>
        <v>-2.5</v>
      </c>
      <c r="E49" s="6">
        <f t="shared" si="16"/>
        <v>-2</v>
      </c>
      <c r="F49" s="6">
        <f t="shared" si="16"/>
        <v>-1.5</v>
      </c>
      <c r="G49" s="6">
        <f t="shared" si="16"/>
        <v>-1</v>
      </c>
      <c r="H49" s="6">
        <f t="shared" si="16"/>
        <v>-0.5</v>
      </c>
      <c r="I49" s="6">
        <f t="shared" si="16"/>
        <v>0</v>
      </c>
      <c r="J49" s="6">
        <f t="shared" si="16"/>
        <v>0.5</v>
      </c>
      <c r="K49" s="6">
        <f t="shared" si="16"/>
        <v>1</v>
      </c>
      <c r="L49" s="6">
        <f t="shared" si="16"/>
        <v>1.5</v>
      </c>
      <c r="M49" s="6">
        <f t="shared" si="16"/>
        <v>2</v>
      </c>
      <c r="N49" s="6">
        <f t="shared" si="16"/>
        <v>2.5</v>
      </c>
      <c r="O49" s="6">
        <f t="shared" si="16"/>
        <v>3</v>
      </c>
      <c r="P49" s="6">
        <f t="shared" si="16"/>
        <v>3.5</v>
      </c>
      <c r="Q49" s="6">
        <f t="shared" si="16"/>
        <v>4</v>
      </c>
      <c r="R49" s="6">
        <f t="shared" si="16"/>
        <v>4.5</v>
      </c>
      <c r="S49" s="6">
        <f t="shared" si="16"/>
        <v>5</v>
      </c>
      <c r="T49" s="6">
        <f t="shared" si="16"/>
        <v>5.5</v>
      </c>
      <c r="U49" s="6">
        <f t="shared" si="16"/>
        <v>6</v>
      </c>
      <c r="V49" s="6">
        <f t="shared" si="16"/>
        <v>6.5</v>
      </c>
    </row>
    <row r="50" spans="2:22" ht="15.75" customHeight="1" x14ac:dyDescent="0.15">
      <c r="C50" s="9">
        <f>C49+0.5</f>
        <v>2.5</v>
      </c>
      <c r="D50" s="6">
        <f t="shared" ref="D50:V50" si="17">D$34+$C50</f>
        <v>-2</v>
      </c>
      <c r="E50" s="6">
        <f t="shared" si="17"/>
        <v>-1.5</v>
      </c>
      <c r="F50" s="6">
        <f t="shared" si="17"/>
        <v>-1</v>
      </c>
      <c r="G50" s="6">
        <f t="shared" si="17"/>
        <v>-0.5</v>
      </c>
      <c r="H50" s="6">
        <f t="shared" si="17"/>
        <v>0</v>
      </c>
      <c r="I50" s="6">
        <f t="shared" si="17"/>
        <v>0.5</v>
      </c>
      <c r="J50" s="6">
        <f t="shared" si="17"/>
        <v>1</v>
      </c>
      <c r="K50" s="6">
        <f t="shared" si="17"/>
        <v>1.5</v>
      </c>
      <c r="L50" s="6">
        <f t="shared" si="17"/>
        <v>2</v>
      </c>
      <c r="M50" s="6">
        <f t="shared" si="17"/>
        <v>2.5</v>
      </c>
      <c r="N50" s="6">
        <f t="shared" si="17"/>
        <v>3</v>
      </c>
      <c r="O50" s="6">
        <f t="shared" si="17"/>
        <v>3.5</v>
      </c>
      <c r="P50" s="6">
        <f t="shared" si="17"/>
        <v>4</v>
      </c>
      <c r="Q50" s="6">
        <f t="shared" si="17"/>
        <v>4.5</v>
      </c>
      <c r="R50" s="6">
        <f t="shared" si="17"/>
        <v>5</v>
      </c>
      <c r="S50" s="6">
        <f t="shared" si="17"/>
        <v>5.5</v>
      </c>
      <c r="T50" s="6">
        <f t="shared" si="17"/>
        <v>6</v>
      </c>
      <c r="U50" s="6">
        <f t="shared" si="17"/>
        <v>6.5</v>
      </c>
      <c r="V50" s="6">
        <f t="shared" si="17"/>
        <v>7</v>
      </c>
    </row>
    <row r="51" spans="2:22" ht="15.75" customHeight="1" x14ac:dyDescent="0.15">
      <c r="C51" s="9">
        <f>C50+0.5</f>
        <v>3</v>
      </c>
      <c r="D51" s="6">
        <f t="shared" ref="D51:V51" si="18">D$34+$C51</f>
        <v>-1.5</v>
      </c>
      <c r="E51" s="6">
        <f t="shared" si="18"/>
        <v>-1</v>
      </c>
      <c r="F51" s="6">
        <f t="shared" si="18"/>
        <v>-0.5</v>
      </c>
      <c r="G51" s="6">
        <f t="shared" si="18"/>
        <v>0</v>
      </c>
      <c r="H51" s="6">
        <f t="shared" si="18"/>
        <v>0.5</v>
      </c>
      <c r="I51" s="6">
        <f t="shared" si="18"/>
        <v>1</v>
      </c>
      <c r="J51" s="6">
        <f t="shared" si="18"/>
        <v>1.5</v>
      </c>
      <c r="K51" s="6">
        <f t="shared" si="18"/>
        <v>2</v>
      </c>
      <c r="L51" s="6">
        <f t="shared" si="18"/>
        <v>2.5</v>
      </c>
      <c r="M51" s="6">
        <f t="shared" si="18"/>
        <v>3</v>
      </c>
      <c r="N51" s="6">
        <f t="shared" si="18"/>
        <v>3.5</v>
      </c>
      <c r="O51" s="6">
        <f t="shared" si="18"/>
        <v>4</v>
      </c>
      <c r="P51" s="6">
        <f t="shared" si="18"/>
        <v>4.5</v>
      </c>
      <c r="Q51" s="6">
        <f t="shared" si="18"/>
        <v>5</v>
      </c>
      <c r="R51" s="6">
        <f t="shared" si="18"/>
        <v>5.5</v>
      </c>
      <c r="S51" s="6">
        <f t="shared" si="18"/>
        <v>6</v>
      </c>
      <c r="T51" s="6">
        <f t="shared" si="18"/>
        <v>6.5</v>
      </c>
      <c r="U51" s="6">
        <f t="shared" si="18"/>
        <v>7</v>
      </c>
      <c r="V51" s="6">
        <f t="shared" si="18"/>
        <v>7.5</v>
      </c>
    </row>
    <row r="52" spans="2:22" ht="15.75" customHeight="1" x14ac:dyDescent="0.15">
      <c r="C52" s="9">
        <f>C51+0.5</f>
        <v>3.5</v>
      </c>
      <c r="D52" s="6">
        <f t="shared" ref="D52:V52" si="19">D$34+$C52</f>
        <v>-1</v>
      </c>
      <c r="E52" s="6">
        <f t="shared" si="19"/>
        <v>-0.5</v>
      </c>
      <c r="F52" s="6">
        <f t="shared" si="19"/>
        <v>0</v>
      </c>
      <c r="G52" s="6">
        <f t="shared" si="19"/>
        <v>0.5</v>
      </c>
      <c r="H52" s="6">
        <f t="shared" si="19"/>
        <v>1</v>
      </c>
      <c r="I52" s="6">
        <f t="shared" si="19"/>
        <v>1.5</v>
      </c>
      <c r="J52" s="6">
        <f t="shared" si="19"/>
        <v>2</v>
      </c>
      <c r="K52" s="6">
        <f t="shared" si="19"/>
        <v>2.5</v>
      </c>
      <c r="L52" s="6">
        <f t="shared" si="19"/>
        <v>3</v>
      </c>
      <c r="M52" s="6">
        <f t="shared" si="19"/>
        <v>3.5</v>
      </c>
      <c r="N52" s="6">
        <f t="shared" si="19"/>
        <v>4</v>
      </c>
      <c r="O52" s="6">
        <f t="shared" si="19"/>
        <v>4.5</v>
      </c>
      <c r="P52" s="6">
        <f t="shared" si="19"/>
        <v>5</v>
      </c>
      <c r="Q52" s="6">
        <f t="shared" si="19"/>
        <v>5.5</v>
      </c>
      <c r="R52" s="6">
        <f t="shared" si="19"/>
        <v>6</v>
      </c>
      <c r="S52" s="6">
        <f t="shared" si="19"/>
        <v>6.5</v>
      </c>
      <c r="T52" s="6">
        <f t="shared" si="19"/>
        <v>7</v>
      </c>
      <c r="U52" s="6">
        <f t="shared" si="19"/>
        <v>7.5</v>
      </c>
      <c r="V52" s="6">
        <f t="shared" si="19"/>
        <v>8</v>
      </c>
    </row>
    <row r="53" spans="2:22" ht="15.75" customHeight="1" x14ac:dyDescent="0.15">
      <c r="C53" s="9">
        <f>C52+0.5</f>
        <v>4</v>
      </c>
      <c r="D53" s="6">
        <f t="shared" ref="D53:V53" si="20">D$34+$C53</f>
        <v>-0.5</v>
      </c>
      <c r="E53" s="6">
        <f t="shared" si="20"/>
        <v>0</v>
      </c>
      <c r="F53" s="6">
        <f t="shared" si="20"/>
        <v>0.5</v>
      </c>
      <c r="G53" s="6">
        <f t="shared" si="20"/>
        <v>1</v>
      </c>
      <c r="H53" s="6">
        <f t="shared" si="20"/>
        <v>1.5</v>
      </c>
      <c r="I53" s="6">
        <f t="shared" si="20"/>
        <v>2</v>
      </c>
      <c r="J53" s="6">
        <f t="shared" si="20"/>
        <v>2.5</v>
      </c>
      <c r="K53" s="6">
        <f t="shared" si="20"/>
        <v>3</v>
      </c>
      <c r="L53" s="6">
        <f t="shared" si="20"/>
        <v>3.5</v>
      </c>
      <c r="M53" s="6">
        <f t="shared" si="20"/>
        <v>4</v>
      </c>
      <c r="N53" s="6">
        <f t="shared" si="20"/>
        <v>4.5</v>
      </c>
      <c r="O53" s="6">
        <f t="shared" si="20"/>
        <v>5</v>
      </c>
      <c r="P53" s="6">
        <f t="shared" si="20"/>
        <v>5.5</v>
      </c>
      <c r="Q53" s="6">
        <f t="shared" si="20"/>
        <v>6</v>
      </c>
      <c r="R53" s="6">
        <f t="shared" si="20"/>
        <v>6.5</v>
      </c>
      <c r="S53" s="6">
        <f t="shared" si="20"/>
        <v>7</v>
      </c>
      <c r="T53" s="6">
        <f t="shared" si="20"/>
        <v>7.5</v>
      </c>
      <c r="U53" s="6">
        <f t="shared" si="20"/>
        <v>8</v>
      </c>
      <c r="V53" s="6">
        <f t="shared" si="20"/>
        <v>8.5</v>
      </c>
    </row>
    <row r="54" spans="2:22" ht="15.75" customHeight="1" x14ac:dyDescent="0.15">
      <c r="C54">
        <f>C53+0.5</f>
        <v>4.5</v>
      </c>
    </row>
    <row r="55" spans="2:22" ht="15.75" customHeight="1" x14ac:dyDescent="0.15">
      <c r="C55" s="9">
        <v>-5</v>
      </c>
      <c r="D55" s="10">
        <f>C55+0.5</f>
        <v>-4.5</v>
      </c>
      <c r="E55" s="10">
        <f t="shared" ref="E55:V55" si="21">D55+0.5</f>
        <v>-4</v>
      </c>
      <c r="F55" s="10">
        <f t="shared" si="21"/>
        <v>-3.5</v>
      </c>
      <c r="G55" s="10">
        <f t="shared" si="21"/>
        <v>-3</v>
      </c>
      <c r="H55" s="10">
        <f t="shared" si="21"/>
        <v>-2.5</v>
      </c>
      <c r="I55" s="10">
        <f t="shared" si="21"/>
        <v>-2</v>
      </c>
      <c r="J55" s="10">
        <f t="shared" si="21"/>
        <v>-1.5</v>
      </c>
      <c r="K55" s="10">
        <f t="shared" si="21"/>
        <v>-1</v>
      </c>
      <c r="L55" s="10">
        <f t="shared" si="21"/>
        <v>-0.5</v>
      </c>
      <c r="M55" s="10">
        <f t="shared" si="21"/>
        <v>0</v>
      </c>
      <c r="N55" s="10">
        <f t="shared" si="21"/>
        <v>0.5</v>
      </c>
      <c r="O55" s="10">
        <f t="shared" si="21"/>
        <v>1</v>
      </c>
      <c r="P55" s="10">
        <f t="shared" si="21"/>
        <v>1.5</v>
      </c>
      <c r="Q55" s="10">
        <f t="shared" si="21"/>
        <v>2</v>
      </c>
      <c r="R55" s="10">
        <f t="shared" si="21"/>
        <v>2.5</v>
      </c>
      <c r="S55" s="10">
        <f t="shared" si="21"/>
        <v>3</v>
      </c>
      <c r="T55" s="10">
        <f t="shared" si="21"/>
        <v>3.5</v>
      </c>
      <c r="U55" s="10">
        <f t="shared" si="21"/>
        <v>4</v>
      </c>
      <c r="V55" s="10">
        <f t="shared" si="21"/>
        <v>4.5</v>
      </c>
    </row>
    <row r="56" spans="2:22" ht="15.75" customHeight="1" x14ac:dyDescent="0.15">
      <c r="B56" s="7" t="s">
        <v>2</v>
      </c>
      <c r="C56" s="9">
        <f>C55+0.5</f>
        <v>-4.5</v>
      </c>
      <c r="D56" s="5">
        <f>MAX(0, D$55+$C56)</f>
        <v>0</v>
      </c>
      <c r="E56" s="5">
        <f t="shared" ref="E56:V70" si="22">MAX(0, E$55+$C56)</f>
        <v>0</v>
      </c>
      <c r="F56" s="5">
        <f t="shared" si="22"/>
        <v>0</v>
      </c>
      <c r="G56" s="5">
        <f t="shared" si="22"/>
        <v>0</v>
      </c>
      <c r="H56" s="5">
        <f t="shared" si="22"/>
        <v>0</v>
      </c>
      <c r="I56" s="5">
        <f t="shared" si="22"/>
        <v>0</v>
      </c>
      <c r="J56" s="5">
        <f t="shared" si="22"/>
        <v>0</v>
      </c>
      <c r="K56" s="5">
        <f t="shared" si="22"/>
        <v>0</v>
      </c>
      <c r="L56" s="5">
        <f t="shared" si="22"/>
        <v>0</v>
      </c>
      <c r="M56" s="5">
        <f t="shared" si="22"/>
        <v>0</v>
      </c>
      <c r="N56" s="5">
        <f t="shared" si="22"/>
        <v>0</v>
      </c>
      <c r="O56" s="5">
        <f t="shared" si="22"/>
        <v>0</v>
      </c>
      <c r="P56" s="5">
        <f t="shared" si="22"/>
        <v>0</v>
      </c>
      <c r="Q56" s="5">
        <f t="shared" si="22"/>
        <v>0</v>
      </c>
      <c r="R56" s="5">
        <f t="shared" si="22"/>
        <v>0</v>
      </c>
      <c r="S56" s="5">
        <f t="shared" si="22"/>
        <v>0</v>
      </c>
      <c r="T56" s="5">
        <f t="shared" si="22"/>
        <v>0</v>
      </c>
      <c r="U56" s="5">
        <f t="shared" si="22"/>
        <v>0</v>
      </c>
      <c r="V56" s="5">
        <f t="shared" si="22"/>
        <v>0</v>
      </c>
    </row>
    <row r="57" spans="2:22" ht="15.75" customHeight="1" x14ac:dyDescent="0.15">
      <c r="C57" s="9">
        <f>C56+0.5</f>
        <v>-4</v>
      </c>
      <c r="D57" s="5">
        <f t="shared" ref="D57:S74" si="23">MAX(0, D$55+$C57)</f>
        <v>0</v>
      </c>
      <c r="E57" s="5">
        <f t="shared" si="22"/>
        <v>0</v>
      </c>
      <c r="F57" s="5">
        <f t="shared" si="22"/>
        <v>0</v>
      </c>
      <c r="G57" s="5">
        <f t="shared" si="22"/>
        <v>0</v>
      </c>
      <c r="H57" s="5">
        <f t="shared" si="22"/>
        <v>0</v>
      </c>
      <c r="I57" s="5">
        <f t="shared" si="22"/>
        <v>0</v>
      </c>
      <c r="J57" s="5">
        <f t="shared" si="22"/>
        <v>0</v>
      </c>
      <c r="K57" s="5">
        <f t="shared" si="22"/>
        <v>0</v>
      </c>
      <c r="L57" s="5">
        <f t="shared" si="22"/>
        <v>0</v>
      </c>
      <c r="M57" s="5">
        <f t="shared" si="22"/>
        <v>0</v>
      </c>
      <c r="N57" s="5">
        <f t="shared" si="22"/>
        <v>0</v>
      </c>
      <c r="O57" s="5">
        <f t="shared" si="22"/>
        <v>0</v>
      </c>
      <c r="P57" s="5">
        <f t="shared" si="22"/>
        <v>0</v>
      </c>
      <c r="Q57" s="5">
        <f t="shared" si="22"/>
        <v>0</v>
      </c>
      <c r="R57" s="5">
        <f t="shared" si="22"/>
        <v>0</v>
      </c>
      <c r="S57" s="5">
        <f t="shared" si="22"/>
        <v>0</v>
      </c>
      <c r="T57" s="5">
        <f t="shared" si="22"/>
        <v>0</v>
      </c>
      <c r="U57" s="5">
        <f t="shared" si="22"/>
        <v>0</v>
      </c>
      <c r="V57" s="5">
        <f t="shared" si="22"/>
        <v>0.5</v>
      </c>
    </row>
    <row r="58" spans="2:22" ht="15.75" customHeight="1" x14ac:dyDescent="0.15">
      <c r="C58" s="9">
        <f>C57+0.5</f>
        <v>-3.5</v>
      </c>
      <c r="D58" s="5">
        <f t="shared" si="23"/>
        <v>0</v>
      </c>
      <c r="E58" s="5">
        <f t="shared" si="22"/>
        <v>0</v>
      </c>
      <c r="F58" s="5">
        <f t="shared" si="22"/>
        <v>0</v>
      </c>
      <c r="G58" s="5">
        <f t="shared" si="22"/>
        <v>0</v>
      </c>
      <c r="H58" s="5">
        <f t="shared" si="22"/>
        <v>0</v>
      </c>
      <c r="I58" s="5">
        <f t="shared" si="22"/>
        <v>0</v>
      </c>
      <c r="J58" s="5">
        <f t="shared" si="22"/>
        <v>0</v>
      </c>
      <c r="K58" s="5">
        <f t="shared" si="22"/>
        <v>0</v>
      </c>
      <c r="L58" s="5">
        <f t="shared" si="22"/>
        <v>0</v>
      </c>
      <c r="M58" s="5">
        <f t="shared" si="22"/>
        <v>0</v>
      </c>
      <c r="N58" s="5">
        <f t="shared" si="22"/>
        <v>0</v>
      </c>
      <c r="O58" s="5">
        <f t="shared" si="22"/>
        <v>0</v>
      </c>
      <c r="P58" s="5">
        <f t="shared" si="22"/>
        <v>0</v>
      </c>
      <c r="Q58" s="5">
        <f t="shared" si="22"/>
        <v>0</v>
      </c>
      <c r="R58" s="5">
        <f t="shared" si="22"/>
        <v>0</v>
      </c>
      <c r="S58" s="5">
        <f t="shared" si="22"/>
        <v>0</v>
      </c>
      <c r="T58" s="5">
        <f t="shared" si="22"/>
        <v>0</v>
      </c>
      <c r="U58" s="5">
        <f t="shared" si="22"/>
        <v>0.5</v>
      </c>
      <c r="V58" s="5">
        <f t="shared" si="22"/>
        <v>1</v>
      </c>
    </row>
    <row r="59" spans="2:22" ht="15.75" customHeight="1" x14ac:dyDescent="0.15">
      <c r="C59" s="9">
        <f>C58+0.5</f>
        <v>-3</v>
      </c>
      <c r="D59" s="5">
        <f t="shared" si="23"/>
        <v>0</v>
      </c>
      <c r="E59" s="5">
        <f t="shared" si="22"/>
        <v>0</v>
      </c>
      <c r="F59" s="5">
        <f t="shared" si="22"/>
        <v>0</v>
      </c>
      <c r="G59" s="5">
        <f t="shared" si="22"/>
        <v>0</v>
      </c>
      <c r="H59" s="5">
        <f t="shared" si="22"/>
        <v>0</v>
      </c>
      <c r="I59" s="5">
        <f t="shared" si="22"/>
        <v>0</v>
      </c>
      <c r="J59" s="5">
        <f t="shared" si="22"/>
        <v>0</v>
      </c>
      <c r="K59" s="5">
        <f t="shared" si="22"/>
        <v>0</v>
      </c>
      <c r="L59" s="5">
        <f t="shared" si="22"/>
        <v>0</v>
      </c>
      <c r="M59" s="5">
        <f t="shared" si="22"/>
        <v>0</v>
      </c>
      <c r="N59" s="5">
        <f t="shared" si="22"/>
        <v>0</v>
      </c>
      <c r="O59" s="5">
        <f t="shared" si="22"/>
        <v>0</v>
      </c>
      <c r="P59" s="5">
        <f t="shared" si="22"/>
        <v>0</v>
      </c>
      <c r="Q59" s="5">
        <f t="shared" si="22"/>
        <v>0</v>
      </c>
      <c r="R59" s="5">
        <f t="shared" si="22"/>
        <v>0</v>
      </c>
      <c r="S59" s="5">
        <f t="shared" si="22"/>
        <v>0</v>
      </c>
      <c r="T59" s="5">
        <f t="shared" si="22"/>
        <v>0.5</v>
      </c>
      <c r="U59" s="5">
        <f t="shared" si="22"/>
        <v>1</v>
      </c>
      <c r="V59" s="5">
        <f t="shared" si="22"/>
        <v>1.5</v>
      </c>
    </row>
    <row r="60" spans="2:22" ht="15.75" customHeight="1" x14ac:dyDescent="0.15">
      <c r="C60" s="9">
        <f>C59+0.5</f>
        <v>-2.5</v>
      </c>
      <c r="D60" s="5">
        <f t="shared" si="23"/>
        <v>0</v>
      </c>
      <c r="E60" s="5">
        <f t="shared" si="22"/>
        <v>0</v>
      </c>
      <c r="F60" s="5">
        <f t="shared" si="22"/>
        <v>0</v>
      </c>
      <c r="G60" s="5">
        <f t="shared" si="22"/>
        <v>0</v>
      </c>
      <c r="H60" s="5">
        <f t="shared" si="22"/>
        <v>0</v>
      </c>
      <c r="I60" s="5">
        <f t="shared" si="22"/>
        <v>0</v>
      </c>
      <c r="J60" s="5">
        <f t="shared" si="22"/>
        <v>0</v>
      </c>
      <c r="K60" s="5">
        <f t="shared" si="22"/>
        <v>0</v>
      </c>
      <c r="L60" s="5">
        <f t="shared" si="22"/>
        <v>0</v>
      </c>
      <c r="M60" s="5">
        <f t="shared" si="22"/>
        <v>0</v>
      </c>
      <c r="N60" s="5">
        <f t="shared" si="22"/>
        <v>0</v>
      </c>
      <c r="O60" s="5">
        <f t="shared" si="22"/>
        <v>0</v>
      </c>
      <c r="P60" s="5">
        <f t="shared" si="22"/>
        <v>0</v>
      </c>
      <c r="Q60" s="5">
        <f t="shared" si="22"/>
        <v>0</v>
      </c>
      <c r="R60" s="5">
        <f t="shared" si="22"/>
        <v>0</v>
      </c>
      <c r="S60" s="5">
        <f t="shared" si="22"/>
        <v>0.5</v>
      </c>
      <c r="T60" s="5">
        <f t="shared" si="22"/>
        <v>1</v>
      </c>
      <c r="U60" s="5">
        <f t="shared" si="22"/>
        <v>1.5</v>
      </c>
      <c r="V60" s="5">
        <f t="shared" si="22"/>
        <v>2</v>
      </c>
    </row>
    <row r="61" spans="2:22" ht="15.75" customHeight="1" x14ac:dyDescent="0.15">
      <c r="C61" s="9">
        <f>C60+0.5</f>
        <v>-2</v>
      </c>
      <c r="D61" s="5">
        <f t="shared" si="23"/>
        <v>0</v>
      </c>
      <c r="E61" s="5">
        <f t="shared" si="22"/>
        <v>0</v>
      </c>
      <c r="F61" s="5">
        <f t="shared" si="22"/>
        <v>0</v>
      </c>
      <c r="G61" s="5">
        <f t="shared" si="22"/>
        <v>0</v>
      </c>
      <c r="H61" s="5">
        <f t="shared" si="22"/>
        <v>0</v>
      </c>
      <c r="I61" s="5">
        <f t="shared" si="22"/>
        <v>0</v>
      </c>
      <c r="J61" s="5">
        <f t="shared" si="22"/>
        <v>0</v>
      </c>
      <c r="K61" s="5">
        <f t="shared" si="22"/>
        <v>0</v>
      </c>
      <c r="L61" s="5">
        <f t="shared" si="22"/>
        <v>0</v>
      </c>
      <c r="M61" s="5">
        <f t="shared" si="22"/>
        <v>0</v>
      </c>
      <c r="N61" s="5">
        <f t="shared" si="22"/>
        <v>0</v>
      </c>
      <c r="O61" s="5">
        <f t="shared" si="22"/>
        <v>0</v>
      </c>
      <c r="P61" s="5">
        <f t="shared" si="22"/>
        <v>0</v>
      </c>
      <c r="Q61" s="5">
        <f t="shared" si="22"/>
        <v>0</v>
      </c>
      <c r="R61" s="5">
        <f t="shared" si="22"/>
        <v>0.5</v>
      </c>
      <c r="S61" s="5">
        <f t="shared" si="22"/>
        <v>1</v>
      </c>
      <c r="T61" s="5">
        <f t="shared" si="22"/>
        <v>1.5</v>
      </c>
      <c r="U61" s="5">
        <f t="shared" si="22"/>
        <v>2</v>
      </c>
      <c r="V61" s="5">
        <f t="shared" si="22"/>
        <v>2.5</v>
      </c>
    </row>
    <row r="62" spans="2:22" ht="15.75" customHeight="1" x14ac:dyDescent="0.15">
      <c r="C62" s="9">
        <f>C61+0.5</f>
        <v>-1.5</v>
      </c>
      <c r="D62" s="5">
        <f t="shared" si="23"/>
        <v>0</v>
      </c>
      <c r="E62" s="5">
        <f t="shared" si="22"/>
        <v>0</v>
      </c>
      <c r="F62" s="5">
        <f t="shared" si="22"/>
        <v>0</v>
      </c>
      <c r="G62" s="5">
        <f t="shared" si="22"/>
        <v>0</v>
      </c>
      <c r="H62" s="5">
        <f t="shared" si="22"/>
        <v>0</v>
      </c>
      <c r="I62" s="5">
        <f t="shared" si="22"/>
        <v>0</v>
      </c>
      <c r="J62" s="5">
        <f t="shared" si="22"/>
        <v>0</v>
      </c>
      <c r="K62" s="5">
        <f t="shared" si="22"/>
        <v>0</v>
      </c>
      <c r="L62" s="5">
        <f t="shared" si="22"/>
        <v>0</v>
      </c>
      <c r="M62" s="5">
        <f t="shared" si="22"/>
        <v>0</v>
      </c>
      <c r="N62" s="5">
        <f t="shared" si="22"/>
        <v>0</v>
      </c>
      <c r="O62" s="5">
        <f t="shared" si="22"/>
        <v>0</v>
      </c>
      <c r="P62" s="5">
        <f t="shared" si="22"/>
        <v>0</v>
      </c>
      <c r="Q62" s="5">
        <f t="shared" si="22"/>
        <v>0.5</v>
      </c>
      <c r="R62" s="5">
        <f t="shared" si="22"/>
        <v>1</v>
      </c>
      <c r="S62" s="5">
        <f t="shared" si="22"/>
        <v>1.5</v>
      </c>
      <c r="T62" s="5">
        <f t="shared" si="22"/>
        <v>2</v>
      </c>
      <c r="U62" s="5">
        <f t="shared" si="22"/>
        <v>2.5</v>
      </c>
      <c r="V62" s="5">
        <f t="shared" si="22"/>
        <v>3</v>
      </c>
    </row>
    <row r="63" spans="2:22" ht="15.75" customHeight="1" x14ac:dyDescent="0.15">
      <c r="C63" s="9">
        <f>C62+0.5</f>
        <v>-1</v>
      </c>
      <c r="D63" s="5">
        <f t="shared" si="23"/>
        <v>0</v>
      </c>
      <c r="E63" s="5">
        <f t="shared" si="22"/>
        <v>0</v>
      </c>
      <c r="F63" s="5">
        <f t="shared" si="22"/>
        <v>0</v>
      </c>
      <c r="G63" s="5">
        <f t="shared" si="22"/>
        <v>0</v>
      </c>
      <c r="H63" s="5">
        <f t="shared" si="22"/>
        <v>0</v>
      </c>
      <c r="I63" s="5">
        <f t="shared" si="22"/>
        <v>0</v>
      </c>
      <c r="J63" s="5">
        <f t="shared" si="22"/>
        <v>0</v>
      </c>
      <c r="K63" s="5">
        <f t="shared" si="22"/>
        <v>0</v>
      </c>
      <c r="L63" s="5">
        <f t="shared" si="22"/>
        <v>0</v>
      </c>
      <c r="M63" s="5">
        <f t="shared" si="22"/>
        <v>0</v>
      </c>
      <c r="N63" s="5">
        <f t="shared" si="22"/>
        <v>0</v>
      </c>
      <c r="O63" s="5">
        <f t="shared" si="22"/>
        <v>0</v>
      </c>
      <c r="P63" s="5">
        <f t="shared" si="22"/>
        <v>0.5</v>
      </c>
      <c r="Q63" s="5">
        <f t="shared" si="22"/>
        <v>1</v>
      </c>
      <c r="R63" s="5">
        <f t="shared" si="22"/>
        <v>1.5</v>
      </c>
      <c r="S63" s="5">
        <f t="shared" si="22"/>
        <v>2</v>
      </c>
      <c r="T63" s="5">
        <f t="shared" si="22"/>
        <v>2.5</v>
      </c>
      <c r="U63" s="5">
        <f t="shared" si="22"/>
        <v>3</v>
      </c>
      <c r="V63" s="5">
        <f t="shared" si="22"/>
        <v>3.5</v>
      </c>
    </row>
    <row r="64" spans="2:22" ht="15.75" customHeight="1" x14ac:dyDescent="0.15">
      <c r="C64" s="9">
        <f>C63+0.5</f>
        <v>-0.5</v>
      </c>
      <c r="D64" s="5">
        <f t="shared" si="23"/>
        <v>0</v>
      </c>
      <c r="E64" s="5">
        <f t="shared" si="22"/>
        <v>0</v>
      </c>
      <c r="F64" s="5">
        <f t="shared" si="22"/>
        <v>0</v>
      </c>
      <c r="G64" s="5">
        <f t="shared" si="22"/>
        <v>0</v>
      </c>
      <c r="H64" s="5">
        <f t="shared" si="22"/>
        <v>0</v>
      </c>
      <c r="I64" s="5">
        <f t="shared" si="22"/>
        <v>0</v>
      </c>
      <c r="J64" s="5">
        <f t="shared" si="22"/>
        <v>0</v>
      </c>
      <c r="K64" s="5">
        <f t="shared" si="22"/>
        <v>0</v>
      </c>
      <c r="L64" s="5">
        <f t="shared" si="22"/>
        <v>0</v>
      </c>
      <c r="M64" s="5">
        <f t="shared" si="22"/>
        <v>0</v>
      </c>
      <c r="N64" s="5">
        <f t="shared" si="22"/>
        <v>0</v>
      </c>
      <c r="O64" s="5">
        <f t="shared" si="22"/>
        <v>0.5</v>
      </c>
      <c r="P64" s="5">
        <f t="shared" si="22"/>
        <v>1</v>
      </c>
      <c r="Q64" s="5">
        <f t="shared" si="22"/>
        <v>1.5</v>
      </c>
      <c r="R64" s="5">
        <f t="shared" si="22"/>
        <v>2</v>
      </c>
      <c r="S64" s="5">
        <f t="shared" si="22"/>
        <v>2.5</v>
      </c>
      <c r="T64" s="5">
        <f t="shared" si="22"/>
        <v>3</v>
      </c>
      <c r="U64" s="5">
        <f t="shared" si="22"/>
        <v>3.5</v>
      </c>
      <c r="V64" s="5">
        <f t="shared" si="22"/>
        <v>4</v>
      </c>
    </row>
    <row r="65" spans="3:22" ht="15.75" customHeight="1" x14ac:dyDescent="0.15">
      <c r="C65" s="9">
        <f>C64+0.5</f>
        <v>0</v>
      </c>
      <c r="D65" s="5">
        <f t="shared" si="23"/>
        <v>0</v>
      </c>
      <c r="E65" s="5">
        <f t="shared" si="22"/>
        <v>0</v>
      </c>
      <c r="F65" s="5">
        <f t="shared" si="22"/>
        <v>0</v>
      </c>
      <c r="G65" s="5">
        <f t="shared" si="22"/>
        <v>0</v>
      </c>
      <c r="H65" s="5">
        <f t="shared" si="22"/>
        <v>0</v>
      </c>
      <c r="I65" s="5">
        <f t="shared" si="22"/>
        <v>0</v>
      </c>
      <c r="J65" s="5">
        <f t="shared" si="22"/>
        <v>0</v>
      </c>
      <c r="K65" s="5">
        <f t="shared" si="22"/>
        <v>0</v>
      </c>
      <c r="L65" s="5">
        <f t="shared" si="22"/>
        <v>0</v>
      </c>
      <c r="M65" s="5">
        <f t="shared" si="22"/>
        <v>0</v>
      </c>
      <c r="N65" s="5">
        <f t="shared" si="22"/>
        <v>0.5</v>
      </c>
      <c r="O65" s="5">
        <f t="shared" si="22"/>
        <v>1</v>
      </c>
      <c r="P65" s="5">
        <f t="shared" si="22"/>
        <v>1.5</v>
      </c>
      <c r="Q65" s="5">
        <f t="shared" si="22"/>
        <v>2</v>
      </c>
      <c r="R65" s="5">
        <f t="shared" si="22"/>
        <v>2.5</v>
      </c>
      <c r="S65" s="5">
        <f t="shared" si="22"/>
        <v>3</v>
      </c>
      <c r="T65" s="5">
        <f t="shared" si="22"/>
        <v>3.5</v>
      </c>
      <c r="U65" s="5">
        <f t="shared" si="22"/>
        <v>4</v>
      </c>
      <c r="V65" s="5">
        <f t="shared" si="22"/>
        <v>4.5</v>
      </c>
    </row>
    <row r="66" spans="3:22" ht="15.75" customHeight="1" x14ac:dyDescent="0.15">
      <c r="C66" s="9">
        <f>C65+0.5</f>
        <v>0.5</v>
      </c>
      <c r="D66" s="5">
        <f t="shared" si="23"/>
        <v>0</v>
      </c>
      <c r="E66" s="5">
        <f t="shared" si="22"/>
        <v>0</v>
      </c>
      <c r="F66" s="5">
        <f t="shared" si="22"/>
        <v>0</v>
      </c>
      <c r="G66" s="5">
        <f t="shared" si="22"/>
        <v>0</v>
      </c>
      <c r="H66" s="5">
        <f t="shared" si="22"/>
        <v>0</v>
      </c>
      <c r="I66" s="5">
        <f t="shared" si="22"/>
        <v>0</v>
      </c>
      <c r="J66" s="5">
        <f t="shared" si="22"/>
        <v>0</v>
      </c>
      <c r="K66" s="5">
        <f t="shared" si="22"/>
        <v>0</v>
      </c>
      <c r="L66" s="5">
        <f t="shared" si="22"/>
        <v>0</v>
      </c>
      <c r="M66" s="5">
        <f t="shared" si="22"/>
        <v>0.5</v>
      </c>
      <c r="N66" s="5">
        <f t="shared" si="22"/>
        <v>1</v>
      </c>
      <c r="O66" s="5">
        <f t="shared" si="22"/>
        <v>1.5</v>
      </c>
      <c r="P66" s="5">
        <f t="shared" si="22"/>
        <v>2</v>
      </c>
      <c r="Q66" s="5">
        <f t="shared" si="22"/>
        <v>2.5</v>
      </c>
      <c r="R66" s="5">
        <f t="shared" si="22"/>
        <v>3</v>
      </c>
      <c r="S66" s="5">
        <f t="shared" si="22"/>
        <v>3.5</v>
      </c>
      <c r="T66" s="5">
        <f t="shared" si="22"/>
        <v>4</v>
      </c>
      <c r="U66" s="5">
        <f t="shared" si="22"/>
        <v>4.5</v>
      </c>
      <c r="V66" s="5">
        <f t="shared" si="22"/>
        <v>5</v>
      </c>
    </row>
    <row r="67" spans="3:22" ht="15.75" customHeight="1" x14ac:dyDescent="0.15">
      <c r="C67" s="9">
        <f>C66+0.5</f>
        <v>1</v>
      </c>
      <c r="D67" s="5">
        <f t="shared" si="23"/>
        <v>0</v>
      </c>
      <c r="E67" s="5">
        <f t="shared" si="22"/>
        <v>0</v>
      </c>
      <c r="F67" s="5">
        <f t="shared" si="22"/>
        <v>0</v>
      </c>
      <c r="G67" s="5">
        <f t="shared" si="22"/>
        <v>0</v>
      </c>
      <c r="H67" s="5">
        <f t="shared" si="22"/>
        <v>0</v>
      </c>
      <c r="I67" s="5">
        <f t="shared" si="22"/>
        <v>0</v>
      </c>
      <c r="J67" s="5">
        <f t="shared" si="22"/>
        <v>0</v>
      </c>
      <c r="K67" s="5">
        <f t="shared" si="22"/>
        <v>0</v>
      </c>
      <c r="L67" s="5">
        <f t="shared" si="22"/>
        <v>0.5</v>
      </c>
      <c r="M67" s="5">
        <f t="shared" si="22"/>
        <v>1</v>
      </c>
      <c r="N67" s="5">
        <f t="shared" si="22"/>
        <v>1.5</v>
      </c>
      <c r="O67" s="5">
        <f t="shared" si="22"/>
        <v>2</v>
      </c>
      <c r="P67" s="5">
        <f t="shared" si="22"/>
        <v>2.5</v>
      </c>
      <c r="Q67" s="5">
        <f t="shared" si="22"/>
        <v>3</v>
      </c>
      <c r="R67" s="5">
        <f t="shared" si="22"/>
        <v>3.5</v>
      </c>
      <c r="S67" s="5">
        <f t="shared" si="22"/>
        <v>4</v>
      </c>
      <c r="T67" s="5">
        <f t="shared" si="22"/>
        <v>4.5</v>
      </c>
      <c r="U67" s="5">
        <f t="shared" si="22"/>
        <v>5</v>
      </c>
      <c r="V67" s="5">
        <f t="shared" si="22"/>
        <v>5.5</v>
      </c>
    </row>
    <row r="68" spans="3:22" ht="15.75" customHeight="1" x14ac:dyDescent="0.15">
      <c r="C68" s="9">
        <f>C67+0.5</f>
        <v>1.5</v>
      </c>
      <c r="D68" s="5">
        <f t="shared" si="23"/>
        <v>0</v>
      </c>
      <c r="E68" s="5">
        <f t="shared" si="22"/>
        <v>0</v>
      </c>
      <c r="F68" s="5">
        <f t="shared" si="22"/>
        <v>0</v>
      </c>
      <c r="G68" s="5">
        <f t="shared" si="22"/>
        <v>0</v>
      </c>
      <c r="H68" s="5">
        <f t="shared" si="22"/>
        <v>0</v>
      </c>
      <c r="I68" s="5">
        <f t="shared" si="22"/>
        <v>0</v>
      </c>
      <c r="J68" s="5">
        <f t="shared" si="22"/>
        <v>0</v>
      </c>
      <c r="K68" s="5">
        <f t="shared" si="22"/>
        <v>0.5</v>
      </c>
      <c r="L68" s="5">
        <f t="shared" si="22"/>
        <v>1</v>
      </c>
      <c r="M68" s="5">
        <f t="shared" si="22"/>
        <v>1.5</v>
      </c>
      <c r="N68" s="5">
        <f t="shared" si="22"/>
        <v>2</v>
      </c>
      <c r="O68" s="5">
        <f t="shared" si="22"/>
        <v>2.5</v>
      </c>
      <c r="P68" s="5">
        <f t="shared" si="22"/>
        <v>3</v>
      </c>
      <c r="Q68" s="5">
        <f t="shared" si="22"/>
        <v>3.5</v>
      </c>
      <c r="R68" s="5">
        <f t="shared" si="22"/>
        <v>4</v>
      </c>
      <c r="S68" s="5">
        <f t="shared" si="22"/>
        <v>4.5</v>
      </c>
      <c r="T68" s="5">
        <f t="shared" si="22"/>
        <v>5</v>
      </c>
      <c r="U68" s="5">
        <f t="shared" si="22"/>
        <v>5.5</v>
      </c>
      <c r="V68" s="5">
        <f t="shared" si="22"/>
        <v>6</v>
      </c>
    </row>
    <row r="69" spans="3:22" ht="15.75" customHeight="1" x14ac:dyDescent="0.15">
      <c r="C69" s="9">
        <f>C68+0.5</f>
        <v>2</v>
      </c>
      <c r="D69" s="5">
        <f t="shared" si="23"/>
        <v>0</v>
      </c>
      <c r="E69" s="5">
        <f t="shared" si="22"/>
        <v>0</v>
      </c>
      <c r="F69" s="5">
        <f t="shared" si="22"/>
        <v>0</v>
      </c>
      <c r="G69" s="5">
        <f t="shared" si="22"/>
        <v>0</v>
      </c>
      <c r="H69" s="5">
        <f t="shared" si="22"/>
        <v>0</v>
      </c>
      <c r="I69" s="5">
        <f t="shared" si="22"/>
        <v>0</v>
      </c>
      <c r="J69" s="5">
        <f t="shared" si="22"/>
        <v>0.5</v>
      </c>
      <c r="K69" s="5">
        <f t="shared" si="22"/>
        <v>1</v>
      </c>
      <c r="L69" s="5">
        <f t="shared" si="22"/>
        <v>1.5</v>
      </c>
      <c r="M69" s="5">
        <f t="shared" si="22"/>
        <v>2</v>
      </c>
      <c r="N69" s="5">
        <f t="shared" si="22"/>
        <v>2.5</v>
      </c>
      <c r="O69" s="5">
        <f t="shared" si="22"/>
        <v>3</v>
      </c>
      <c r="P69" s="5">
        <f t="shared" si="22"/>
        <v>3.5</v>
      </c>
      <c r="Q69" s="5">
        <f t="shared" si="22"/>
        <v>4</v>
      </c>
      <c r="R69" s="5">
        <f t="shared" si="22"/>
        <v>4.5</v>
      </c>
      <c r="S69" s="5">
        <f t="shared" si="22"/>
        <v>5</v>
      </c>
      <c r="T69" s="5">
        <f t="shared" si="22"/>
        <v>5.5</v>
      </c>
      <c r="U69" s="5">
        <f t="shared" si="22"/>
        <v>6</v>
      </c>
      <c r="V69" s="5">
        <f t="shared" si="22"/>
        <v>6.5</v>
      </c>
    </row>
    <row r="70" spans="3:22" ht="15.75" customHeight="1" x14ac:dyDescent="0.15">
      <c r="C70" s="9">
        <f>C69+0.5</f>
        <v>2.5</v>
      </c>
      <c r="D70" s="5">
        <f t="shared" si="23"/>
        <v>0</v>
      </c>
      <c r="E70" s="5">
        <f t="shared" si="22"/>
        <v>0</v>
      </c>
      <c r="F70" s="5">
        <f t="shared" si="22"/>
        <v>0</v>
      </c>
      <c r="G70" s="5">
        <f t="shared" si="22"/>
        <v>0</v>
      </c>
      <c r="H70" s="5">
        <f t="shared" ref="H70:V74" si="24">MAX(0, H$55+$C70)</f>
        <v>0</v>
      </c>
      <c r="I70" s="5">
        <f t="shared" si="24"/>
        <v>0.5</v>
      </c>
      <c r="J70" s="5">
        <f t="shared" si="24"/>
        <v>1</v>
      </c>
      <c r="K70" s="5">
        <f t="shared" si="24"/>
        <v>1.5</v>
      </c>
      <c r="L70" s="5">
        <f t="shared" si="24"/>
        <v>2</v>
      </c>
      <c r="M70" s="5">
        <f t="shared" si="24"/>
        <v>2.5</v>
      </c>
      <c r="N70" s="5">
        <f t="shared" si="24"/>
        <v>3</v>
      </c>
      <c r="O70" s="5">
        <f t="shared" si="24"/>
        <v>3.5</v>
      </c>
      <c r="P70" s="5">
        <f t="shared" si="24"/>
        <v>4</v>
      </c>
      <c r="Q70" s="5">
        <f t="shared" si="24"/>
        <v>4.5</v>
      </c>
      <c r="R70" s="5">
        <f t="shared" si="24"/>
        <v>5</v>
      </c>
      <c r="S70" s="5">
        <f t="shared" si="24"/>
        <v>5.5</v>
      </c>
      <c r="T70" s="5">
        <f t="shared" si="24"/>
        <v>6</v>
      </c>
      <c r="U70" s="5">
        <f t="shared" si="24"/>
        <v>6.5</v>
      </c>
      <c r="V70" s="5">
        <f t="shared" si="24"/>
        <v>7</v>
      </c>
    </row>
    <row r="71" spans="3:22" ht="15.75" customHeight="1" x14ac:dyDescent="0.15">
      <c r="C71" s="9">
        <f>C70+0.5</f>
        <v>3</v>
      </c>
      <c r="D71" s="5">
        <f t="shared" si="23"/>
        <v>0</v>
      </c>
      <c r="E71" s="5">
        <f t="shared" si="23"/>
        <v>0</v>
      </c>
      <c r="F71" s="5">
        <f t="shared" si="23"/>
        <v>0</v>
      </c>
      <c r="G71" s="5">
        <f t="shared" si="23"/>
        <v>0</v>
      </c>
      <c r="H71" s="5">
        <f t="shared" si="23"/>
        <v>0.5</v>
      </c>
      <c r="I71" s="5">
        <f t="shared" si="23"/>
        <v>1</v>
      </c>
      <c r="J71" s="5">
        <f t="shared" si="23"/>
        <v>1.5</v>
      </c>
      <c r="K71" s="5">
        <f t="shared" si="23"/>
        <v>2</v>
      </c>
      <c r="L71" s="5">
        <f t="shared" si="23"/>
        <v>2.5</v>
      </c>
      <c r="M71" s="5">
        <f t="shared" si="23"/>
        <v>3</v>
      </c>
      <c r="N71" s="5">
        <f t="shared" si="23"/>
        <v>3.5</v>
      </c>
      <c r="O71" s="5">
        <f t="shared" si="23"/>
        <v>4</v>
      </c>
      <c r="P71" s="5">
        <f t="shared" si="23"/>
        <v>4.5</v>
      </c>
      <c r="Q71" s="5">
        <f t="shared" si="23"/>
        <v>5</v>
      </c>
      <c r="R71" s="5">
        <f t="shared" si="23"/>
        <v>5.5</v>
      </c>
      <c r="S71" s="5">
        <f t="shared" si="23"/>
        <v>6</v>
      </c>
      <c r="T71" s="5">
        <f t="shared" si="24"/>
        <v>6.5</v>
      </c>
      <c r="U71" s="5">
        <f t="shared" si="24"/>
        <v>7</v>
      </c>
      <c r="V71" s="5">
        <f t="shared" si="24"/>
        <v>7.5</v>
      </c>
    </row>
    <row r="72" spans="3:22" ht="15.75" customHeight="1" x14ac:dyDescent="0.15">
      <c r="C72" s="9">
        <f>C71+0.5</f>
        <v>3.5</v>
      </c>
      <c r="D72" s="5">
        <f t="shared" si="23"/>
        <v>0</v>
      </c>
      <c r="E72" s="5">
        <f t="shared" si="23"/>
        <v>0</v>
      </c>
      <c r="F72" s="5">
        <f t="shared" si="23"/>
        <v>0</v>
      </c>
      <c r="G72" s="5">
        <f t="shared" si="23"/>
        <v>0.5</v>
      </c>
      <c r="H72" s="5">
        <f t="shared" si="23"/>
        <v>1</v>
      </c>
      <c r="I72" s="5">
        <f t="shared" si="23"/>
        <v>1.5</v>
      </c>
      <c r="J72" s="5">
        <f t="shared" si="23"/>
        <v>2</v>
      </c>
      <c r="K72" s="5">
        <f t="shared" si="23"/>
        <v>2.5</v>
      </c>
      <c r="L72" s="5">
        <f t="shared" si="23"/>
        <v>3</v>
      </c>
      <c r="M72" s="5">
        <f t="shared" si="23"/>
        <v>3.5</v>
      </c>
      <c r="N72" s="5">
        <f t="shared" si="23"/>
        <v>4</v>
      </c>
      <c r="O72" s="5">
        <f t="shared" si="23"/>
        <v>4.5</v>
      </c>
      <c r="P72" s="5">
        <f t="shared" si="23"/>
        <v>5</v>
      </c>
      <c r="Q72" s="5">
        <f t="shared" si="23"/>
        <v>5.5</v>
      </c>
      <c r="R72" s="5">
        <f t="shared" si="23"/>
        <v>6</v>
      </c>
      <c r="S72" s="5">
        <f t="shared" si="23"/>
        <v>6.5</v>
      </c>
      <c r="T72" s="5">
        <f t="shared" si="24"/>
        <v>7</v>
      </c>
      <c r="U72" s="5">
        <f t="shared" si="24"/>
        <v>7.5</v>
      </c>
      <c r="V72" s="5">
        <f t="shared" si="24"/>
        <v>8</v>
      </c>
    </row>
    <row r="73" spans="3:22" ht="15.75" customHeight="1" x14ac:dyDescent="0.15">
      <c r="C73" s="9">
        <f>C72+0.5</f>
        <v>4</v>
      </c>
      <c r="D73" s="5">
        <f t="shared" si="23"/>
        <v>0</v>
      </c>
      <c r="E73" s="5">
        <f t="shared" si="23"/>
        <v>0</v>
      </c>
      <c r="F73" s="5">
        <f t="shared" si="23"/>
        <v>0.5</v>
      </c>
      <c r="G73" s="5">
        <f t="shared" si="23"/>
        <v>1</v>
      </c>
      <c r="H73" s="5">
        <f t="shared" si="23"/>
        <v>1.5</v>
      </c>
      <c r="I73" s="5">
        <f t="shared" si="23"/>
        <v>2</v>
      </c>
      <c r="J73" s="5">
        <f t="shared" si="23"/>
        <v>2.5</v>
      </c>
      <c r="K73" s="5">
        <f t="shared" si="23"/>
        <v>3</v>
      </c>
      <c r="L73" s="5">
        <f t="shared" si="23"/>
        <v>3.5</v>
      </c>
      <c r="M73" s="5">
        <f t="shared" si="23"/>
        <v>4</v>
      </c>
      <c r="N73" s="5">
        <f t="shared" si="23"/>
        <v>4.5</v>
      </c>
      <c r="O73" s="5">
        <f t="shared" si="23"/>
        <v>5</v>
      </c>
      <c r="P73" s="5">
        <f t="shared" si="23"/>
        <v>5.5</v>
      </c>
      <c r="Q73" s="5">
        <f t="shared" si="23"/>
        <v>6</v>
      </c>
      <c r="R73" s="5">
        <f t="shared" si="23"/>
        <v>6.5</v>
      </c>
      <c r="S73" s="5">
        <f t="shared" si="23"/>
        <v>7</v>
      </c>
      <c r="T73" s="5">
        <f t="shared" si="24"/>
        <v>7.5</v>
      </c>
      <c r="U73" s="5">
        <f t="shared" si="24"/>
        <v>8</v>
      </c>
      <c r="V73" s="5">
        <f t="shared" si="24"/>
        <v>8.5</v>
      </c>
    </row>
    <row r="74" spans="3:22" ht="15.75" customHeight="1" x14ac:dyDescent="0.15">
      <c r="C74">
        <f>C73+0.5</f>
        <v>4.5</v>
      </c>
      <c r="D74" s="5">
        <f t="shared" si="23"/>
        <v>0</v>
      </c>
      <c r="E74" s="5">
        <f t="shared" si="23"/>
        <v>0.5</v>
      </c>
      <c r="F74" s="5">
        <f t="shared" si="23"/>
        <v>1</v>
      </c>
      <c r="G74" s="5">
        <f t="shared" si="23"/>
        <v>1.5</v>
      </c>
      <c r="H74" s="5">
        <f t="shared" si="23"/>
        <v>2</v>
      </c>
      <c r="I74" s="5">
        <f t="shared" si="23"/>
        <v>2.5</v>
      </c>
      <c r="J74" s="5">
        <f t="shared" si="23"/>
        <v>3</v>
      </c>
      <c r="K74" s="5">
        <f t="shared" si="23"/>
        <v>3.5</v>
      </c>
      <c r="L74" s="5">
        <f t="shared" si="23"/>
        <v>4</v>
      </c>
      <c r="M74" s="5">
        <f t="shared" si="23"/>
        <v>4.5</v>
      </c>
      <c r="N74" s="5">
        <f t="shared" si="23"/>
        <v>5</v>
      </c>
      <c r="O74" s="5">
        <f t="shared" si="23"/>
        <v>5.5</v>
      </c>
      <c r="P74" s="5">
        <f t="shared" si="23"/>
        <v>6</v>
      </c>
      <c r="Q74" s="5">
        <f t="shared" si="23"/>
        <v>6.5</v>
      </c>
      <c r="R74" s="5">
        <f t="shared" si="23"/>
        <v>7</v>
      </c>
      <c r="S74" s="5">
        <f t="shared" si="23"/>
        <v>7.5</v>
      </c>
      <c r="T74" s="5">
        <f t="shared" si="24"/>
        <v>8</v>
      </c>
      <c r="U74" s="5">
        <f t="shared" si="24"/>
        <v>8.5</v>
      </c>
      <c r="V74" s="5">
        <f t="shared" si="24"/>
        <v>9</v>
      </c>
    </row>
    <row r="88" spans="1:42" ht="15.75" customHeight="1" x14ac:dyDescent="0.15">
      <c r="A88" s="23" t="s">
        <v>7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91" spans="1:42" ht="15.75" customHeight="1" x14ac:dyDescent="0.15">
      <c r="Q91" s="15"/>
    </row>
    <row r="93" spans="1:42" ht="15.75" customHeight="1" x14ac:dyDescent="0.15">
      <c r="B93" s="2" t="s">
        <v>1</v>
      </c>
      <c r="C93" s="16">
        <v>-5</v>
      </c>
      <c r="D93" s="16">
        <f>C93+0.5</f>
        <v>-4.5</v>
      </c>
      <c r="E93" s="16">
        <f>D93+0.5</f>
        <v>-4</v>
      </c>
      <c r="F93" s="16">
        <f>E93+0.5</f>
        <v>-3.5</v>
      </c>
      <c r="G93" s="16">
        <f>F93+0.5</f>
        <v>-3</v>
      </c>
      <c r="H93" s="16">
        <f>G93+0.5</f>
        <v>-2.5</v>
      </c>
      <c r="I93" s="16">
        <f>H93+0.5</f>
        <v>-2</v>
      </c>
      <c r="J93" s="16">
        <f>I93+0.5</f>
        <v>-1.5</v>
      </c>
      <c r="K93" s="16">
        <f>J93+0.5</f>
        <v>-1</v>
      </c>
      <c r="L93" s="16">
        <f>K93+0.5</f>
        <v>-0.5</v>
      </c>
      <c r="M93" s="16">
        <f>L93+0.5</f>
        <v>0</v>
      </c>
      <c r="N93" s="16">
        <f>M93+0.5</f>
        <v>0.5</v>
      </c>
      <c r="O93" s="16">
        <f>N93+0.5</f>
        <v>1</v>
      </c>
      <c r="P93" s="16">
        <f>O93+0.5</f>
        <v>1.5</v>
      </c>
      <c r="Q93" s="16">
        <f>P93+0.5</f>
        <v>2</v>
      </c>
      <c r="R93" s="16">
        <f>Q93+0.5</f>
        <v>2.5</v>
      </c>
      <c r="S93" s="16">
        <f>R93+0.5</f>
        <v>3</v>
      </c>
      <c r="T93" s="16">
        <f>S93+0.5</f>
        <v>3.5</v>
      </c>
      <c r="U93" s="16">
        <f>T93+0.5</f>
        <v>4</v>
      </c>
      <c r="V93" s="16">
        <f>U93+0.5</f>
        <v>4.5</v>
      </c>
    </row>
    <row r="94" spans="1:42" ht="15.75" customHeight="1" x14ac:dyDescent="0.15">
      <c r="B94" s="4" t="s">
        <v>2</v>
      </c>
      <c r="C94" s="6">
        <f>MAX(0, C93)</f>
        <v>0</v>
      </c>
      <c r="D94" s="6">
        <f t="shared" ref="C94:V94" si="25">MAX(0, D93)</f>
        <v>0</v>
      </c>
      <c r="E94" s="6">
        <f t="shared" si="25"/>
        <v>0</v>
      </c>
      <c r="F94" s="6">
        <f t="shared" si="25"/>
        <v>0</v>
      </c>
      <c r="G94" s="6">
        <f t="shared" si="25"/>
        <v>0</v>
      </c>
      <c r="H94" s="6">
        <f t="shared" si="25"/>
        <v>0</v>
      </c>
      <c r="I94" s="6">
        <f t="shared" si="25"/>
        <v>0</v>
      </c>
      <c r="J94" s="6">
        <f t="shared" si="25"/>
        <v>0</v>
      </c>
      <c r="K94" s="6">
        <f t="shared" si="25"/>
        <v>0</v>
      </c>
      <c r="L94" s="6">
        <f t="shared" si="25"/>
        <v>0</v>
      </c>
      <c r="M94" s="6">
        <f t="shared" si="25"/>
        <v>0</v>
      </c>
      <c r="N94" s="6">
        <f t="shared" si="25"/>
        <v>0.5</v>
      </c>
      <c r="O94" s="6">
        <f t="shared" si="25"/>
        <v>1</v>
      </c>
      <c r="P94" s="6">
        <f t="shared" si="25"/>
        <v>1.5</v>
      </c>
      <c r="Q94" s="6">
        <f t="shared" si="25"/>
        <v>2</v>
      </c>
      <c r="R94" s="6">
        <f t="shared" si="25"/>
        <v>2.5</v>
      </c>
      <c r="S94" s="6">
        <f t="shared" si="25"/>
        <v>3</v>
      </c>
      <c r="T94" s="6">
        <f t="shared" si="25"/>
        <v>3.5</v>
      </c>
      <c r="U94" s="6">
        <f t="shared" si="25"/>
        <v>4</v>
      </c>
      <c r="V94" s="6">
        <f t="shared" si="25"/>
        <v>4.5</v>
      </c>
    </row>
    <row r="95" spans="1:42" ht="15.75" customHeight="1" x14ac:dyDescent="0.15">
      <c r="B95" s="8" t="s">
        <v>8</v>
      </c>
      <c r="C95">
        <f>MAX(0, C93)^2</f>
        <v>0</v>
      </c>
      <c r="D95">
        <f t="shared" ref="D95:V95" si="26">MAX(0, D93)^2</f>
        <v>0</v>
      </c>
      <c r="E95">
        <f t="shared" si="26"/>
        <v>0</v>
      </c>
      <c r="F95">
        <f t="shared" si="26"/>
        <v>0</v>
      </c>
      <c r="G95">
        <f t="shared" si="26"/>
        <v>0</v>
      </c>
      <c r="H95">
        <f t="shared" si="26"/>
        <v>0</v>
      </c>
      <c r="I95">
        <f t="shared" si="26"/>
        <v>0</v>
      </c>
      <c r="J95">
        <f t="shared" si="26"/>
        <v>0</v>
      </c>
      <c r="K95">
        <f t="shared" si="26"/>
        <v>0</v>
      </c>
      <c r="L95">
        <f t="shared" si="26"/>
        <v>0</v>
      </c>
      <c r="M95">
        <f t="shared" si="26"/>
        <v>0</v>
      </c>
      <c r="N95">
        <f t="shared" si="26"/>
        <v>0.25</v>
      </c>
      <c r="O95">
        <f t="shared" si="26"/>
        <v>1</v>
      </c>
      <c r="P95">
        <f t="shared" si="26"/>
        <v>2.25</v>
      </c>
      <c r="Q95">
        <f t="shared" si="26"/>
        <v>4</v>
      </c>
      <c r="R95">
        <f t="shared" si="26"/>
        <v>6.25</v>
      </c>
      <c r="S95">
        <f t="shared" si="26"/>
        <v>9</v>
      </c>
      <c r="T95">
        <f t="shared" si="26"/>
        <v>12.25</v>
      </c>
      <c r="U95">
        <f t="shared" si="26"/>
        <v>16</v>
      </c>
      <c r="V95">
        <f t="shared" si="26"/>
        <v>20.25</v>
      </c>
    </row>
    <row r="117" spans="1:42" ht="13" x14ac:dyDescent="0.15">
      <c r="A117" s="23" t="s">
        <v>9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21" spans="1:42" ht="13" x14ac:dyDescent="0.15">
      <c r="B121" s="2" t="s">
        <v>10</v>
      </c>
      <c r="C121" s="3">
        <v>0.2</v>
      </c>
    </row>
    <row r="123" spans="1:42" ht="13" x14ac:dyDescent="0.15">
      <c r="B123" s="2" t="s">
        <v>1</v>
      </c>
      <c r="C123" s="16">
        <v>-5</v>
      </c>
      <c r="D123" s="16">
        <f>C123+0.5</f>
        <v>-4.5</v>
      </c>
      <c r="E123" s="16">
        <f>D123+0.5</f>
        <v>-4</v>
      </c>
      <c r="F123" s="16">
        <f>E123+0.5</f>
        <v>-3.5</v>
      </c>
      <c r="G123" s="16">
        <f>F123+0.5</f>
        <v>-3</v>
      </c>
      <c r="H123" s="16">
        <f>G123+0.5</f>
        <v>-2.5</v>
      </c>
      <c r="I123" s="16">
        <f>H123+0.5</f>
        <v>-2</v>
      </c>
      <c r="J123" s="16">
        <f>I123+0.5</f>
        <v>-1.5</v>
      </c>
      <c r="K123" s="16">
        <f>J123+0.5</f>
        <v>-1</v>
      </c>
      <c r="L123" s="16">
        <f>K123+0.5</f>
        <v>-0.5</v>
      </c>
      <c r="M123" s="16">
        <f>L123+0.5</f>
        <v>0</v>
      </c>
      <c r="N123" s="16">
        <f>M123+0.5</f>
        <v>0.5</v>
      </c>
      <c r="O123" s="16">
        <f>N123+0.5</f>
        <v>1</v>
      </c>
      <c r="P123" s="16">
        <f>O123+0.5</f>
        <v>1.5</v>
      </c>
      <c r="Q123" s="16">
        <f>P123+0.5</f>
        <v>2</v>
      </c>
      <c r="R123" s="16">
        <f>Q123+0.5</f>
        <v>2.5</v>
      </c>
      <c r="S123" s="16">
        <f>R123+0.5</f>
        <v>3</v>
      </c>
      <c r="T123" s="16">
        <f>S123+0.5</f>
        <v>3.5</v>
      </c>
      <c r="U123" s="16">
        <f>T123+0.5</f>
        <v>4</v>
      </c>
      <c r="V123" s="16">
        <f>U123+0.5</f>
        <v>4.5</v>
      </c>
    </row>
    <row r="124" spans="1:42" ht="13" x14ac:dyDescent="0.15">
      <c r="B124" s="4" t="s">
        <v>2</v>
      </c>
      <c r="C124" s="6">
        <f t="shared" ref="C124:V124" si="27">MAX(0, C123)</f>
        <v>0</v>
      </c>
      <c r="D124" s="6">
        <f t="shared" si="27"/>
        <v>0</v>
      </c>
      <c r="E124" s="6">
        <f t="shared" si="27"/>
        <v>0</v>
      </c>
      <c r="F124" s="6">
        <f t="shared" si="27"/>
        <v>0</v>
      </c>
      <c r="G124" s="6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6">
        <f t="shared" si="27"/>
        <v>0</v>
      </c>
      <c r="L124" s="6">
        <f t="shared" si="27"/>
        <v>0</v>
      </c>
      <c r="M124" s="6">
        <f t="shared" si="27"/>
        <v>0</v>
      </c>
      <c r="N124" s="6">
        <f t="shared" si="27"/>
        <v>0.5</v>
      </c>
      <c r="O124" s="6">
        <f t="shared" si="27"/>
        <v>1</v>
      </c>
      <c r="P124" s="6">
        <f t="shared" si="27"/>
        <v>1.5</v>
      </c>
      <c r="Q124" s="6">
        <f t="shared" si="27"/>
        <v>2</v>
      </c>
      <c r="R124" s="6">
        <f t="shared" si="27"/>
        <v>2.5</v>
      </c>
      <c r="S124" s="6">
        <f t="shared" si="27"/>
        <v>3</v>
      </c>
      <c r="T124" s="6">
        <f t="shared" si="27"/>
        <v>3.5</v>
      </c>
      <c r="U124" s="6">
        <f t="shared" si="27"/>
        <v>4</v>
      </c>
      <c r="V124" s="6">
        <f t="shared" si="27"/>
        <v>4.5</v>
      </c>
    </row>
    <row r="125" spans="1:42" ht="13" x14ac:dyDescent="0.15">
      <c r="B125" s="8" t="s">
        <v>8</v>
      </c>
      <c r="C125" s="6">
        <f t="shared" ref="C125:V125" si="28">MAX(0, C124)^2</f>
        <v>0</v>
      </c>
      <c r="D125" s="6">
        <f t="shared" si="28"/>
        <v>0</v>
      </c>
      <c r="E125" s="6">
        <f t="shared" si="28"/>
        <v>0</v>
      </c>
      <c r="F125" s="6">
        <f t="shared" si="28"/>
        <v>0</v>
      </c>
      <c r="G125" s="6">
        <f t="shared" si="28"/>
        <v>0</v>
      </c>
      <c r="H125" s="6">
        <f t="shared" si="28"/>
        <v>0</v>
      </c>
      <c r="I125" s="6">
        <f t="shared" si="28"/>
        <v>0</v>
      </c>
      <c r="J125" s="6">
        <f t="shared" si="28"/>
        <v>0</v>
      </c>
      <c r="K125" s="6">
        <f t="shared" si="28"/>
        <v>0</v>
      </c>
      <c r="L125" s="6">
        <f t="shared" si="28"/>
        <v>0</v>
      </c>
      <c r="M125" s="6">
        <f t="shared" si="28"/>
        <v>0</v>
      </c>
      <c r="N125" s="6">
        <f t="shared" si="28"/>
        <v>0.25</v>
      </c>
      <c r="O125" s="6">
        <f t="shared" si="28"/>
        <v>1</v>
      </c>
      <c r="P125" s="6">
        <f t="shared" si="28"/>
        <v>2.25</v>
      </c>
      <c r="Q125" s="6">
        <f t="shared" si="28"/>
        <v>4</v>
      </c>
      <c r="R125" s="6">
        <f t="shared" si="28"/>
        <v>6.25</v>
      </c>
      <c r="S125" s="6">
        <f t="shared" si="28"/>
        <v>9</v>
      </c>
      <c r="T125" s="6">
        <f t="shared" si="28"/>
        <v>12.25</v>
      </c>
      <c r="U125" s="6">
        <f t="shared" si="28"/>
        <v>16</v>
      </c>
      <c r="V125" s="6">
        <f t="shared" si="28"/>
        <v>20.25</v>
      </c>
    </row>
    <row r="126" spans="1:42" ht="13" x14ac:dyDescent="0.15">
      <c r="B126" s="8" t="s">
        <v>11</v>
      </c>
      <c r="C126" s="7">
        <f>IF(C124&gt;0,C124,C123*$C$121)</f>
        <v>-1</v>
      </c>
      <c r="D126" s="7">
        <f>IF(D124&gt;0,D124,D123*$C$121)</f>
        <v>-0.9</v>
      </c>
      <c r="E126" s="7">
        <f>IF(E124&gt;0,E124,E123*$C$121)</f>
        <v>-0.8</v>
      </c>
      <c r="F126" s="7">
        <f>IF(F124&gt;0,F124,F123*$C$121)</f>
        <v>-0.70000000000000007</v>
      </c>
      <c r="G126" s="7">
        <f>IF(G124&gt;0,G124,G123*$C$121)</f>
        <v>-0.60000000000000009</v>
      </c>
      <c r="H126" s="7">
        <f>IF(H124&gt;0,H124,H123*$C$121)</f>
        <v>-0.5</v>
      </c>
      <c r="I126" s="7">
        <f>IF(I124&gt;0,I124,I123*$C$121)</f>
        <v>-0.4</v>
      </c>
      <c r="J126" s="7">
        <f>IF(J124&gt;0,J124,J123*$C$121)</f>
        <v>-0.30000000000000004</v>
      </c>
      <c r="K126" s="7">
        <f>IF(K124&gt;0,K124,K123*$C$121)</f>
        <v>-0.2</v>
      </c>
      <c r="L126" s="7">
        <f>IF(L124&gt;0,L124,L123*$C$121)</f>
        <v>-0.1</v>
      </c>
      <c r="M126" s="7">
        <f>IF(M124&gt;0,M124,M123*$C$121)</f>
        <v>0</v>
      </c>
      <c r="N126" s="7">
        <f>IF(N124&gt;0,N124,N123*$C$121)</f>
        <v>0.5</v>
      </c>
      <c r="O126" s="7">
        <f>IF(O124&gt;0,O124,O123*$C$121)</f>
        <v>1</v>
      </c>
      <c r="P126" s="7">
        <f>IF(P124&gt;0,P124,P123*$C$121)</f>
        <v>1.5</v>
      </c>
      <c r="Q126" s="7">
        <f>IF(Q124&gt;0,Q124,Q123*$C$121)</f>
        <v>2</v>
      </c>
      <c r="R126" s="7">
        <f>IF(R124&gt;0,R124,R123*$C$121)</f>
        <v>2.5</v>
      </c>
      <c r="S126" s="7">
        <f>IF(S124&gt;0,S124,S123*$C$121)</f>
        <v>3</v>
      </c>
      <c r="T126" s="7">
        <f>IF(T124&gt;0,T124,T123*$C$121)</f>
        <v>3.5</v>
      </c>
      <c r="U126" s="7">
        <f>IF(U124&gt;0,U124,U123*$C$121)</f>
        <v>4</v>
      </c>
      <c r="V126" s="7">
        <f>IF(V124&gt;0,V124,V123*$C$121)</f>
        <v>4.5</v>
      </c>
    </row>
    <row r="150" spans="1:42" ht="13" x14ac:dyDescent="0.15">
      <c r="A150" s="23" t="s">
        <v>12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4" spans="1:42" ht="13" x14ac:dyDescent="0.15">
      <c r="B154" s="2"/>
      <c r="C154" s="7"/>
    </row>
    <row r="156" spans="1:42" ht="13" x14ac:dyDescent="0.15">
      <c r="B156" s="2" t="s">
        <v>1</v>
      </c>
      <c r="C156" s="16">
        <v>-5</v>
      </c>
      <c r="D156" s="16">
        <f>C156+0.5</f>
        <v>-4.5</v>
      </c>
      <c r="E156" s="16">
        <f>D156+0.5</f>
        <v>-4</v>
      </c>
      <c r="F156" s="16">
        <f>E156+0.5</f>
        <v>-3.5</v>
      </c>
      <c r="G156" s="16">
        <f>F156+0.5</f>
        <v>-3</v>
      </c>
      <c r="H156" s="16">
        <f>G156+0.5</f>
        <v>-2.5</v>
      </c>
      <c r="I156" s="16">
        <f>H156+0.5</f>
        <v>-2</v>
      </c>
      <c r="J156" s="16">
        <f>I156+0.5</f>
        <v>-1.5</v>
      </c>
      <c r="K156" s="16">
        <f>J156+0.5</f>
        <v>-1</v>
      </c>
      <c r="L156" s="16">
        <f>K156+0.5</f>
        <v>-0.5</v>
      </c>
      <c r="M156" s="16">
        <f>L156+0.5</f>
        <v>0</v>
      </c>
      <c r="N156" s="16">
        <f>M156+0.5</f>
        <v>0.5</v>
      </c>
      <c r="O156" s="16">
        <f>N156+0.5</f>
        <v>1</v>
      </c>
      <c r="P156" s="16">
        <f>O156+0.5</f>
        <v>1.5</v>
      </c>
      <c r="Q156" s="16">
        <f>P156+0.5</f>
        <v>2</v>
      </c>
      <c r="R156" s="16">
        <f>Q156+0.5</f>
        <v>2.5</v>
      </c>
      <c r="S156" s="16">
        <f>R156+0.5</f>
        <v>3</v>
      </c>
      <c r="T156" s="16">
        <f>S156+0.5</f>
        <v>3.5</v>
      </c>
      <c r="U156" s="16">
        <f>T156+0.5</f>
        <v>4</v>
      </c>
      <c r="V156" s="16">
        <f>U156+0.5</f>
        <v>4.5</v>
      </c>
    </row>
    <row r="157" spans="1:42" ht="13" x14ac:dyDescent="0.15">
      <c r="B157" s="4" t="s">
        <v>2</v>
      </c>
      <c r="C157" s="6">
        <f t="shared" ref="C157:V157" si="29">MAX(0, C156)</f>
        <v>0</v>
      </c>
      <c r="D157" s="6">
        <f t="shared" si="29"/>
        <v>0</v>
      </c>
      <c r="E157" s="6">
        <f t="shared" si="29"/>
        <v>0</v>
      </c>
      <c r="F157" s="6">
        <f t="shared" si="29"/>
        <v>0</v>
      </c>
      <c r="G157" s="6">
        <f t="shared" si="29"/>
        <v>0</v>
      </c>
      <c r="H157" s="6">
        <f t="shared" si="29"/>
        <v>0</v>
      </c>
      <c r="I157" s="6">
        <f t="shared" si="29"/>
        <v>0</v>
      </c>
      <c r="J157" s="6">
        <f t="shared" si="29"/>
        <v>0</v>
      </c>
      <c r="K157" s="6">
        <f t="shared" si="29"/>
        <v>0</v>
      </c>
      <c r="L157" s="6">
        <f t="shared" si="29"/>
        <v>0</v>
      </c>
      <c r="M157" s="6">
        <f t="shared" si="29"/>
        <v>0</v>
      </c>
      <c r="N157" s="6">
        <f t="shared" si="29"/>
        <v>0.5</v>
      </c>
      <c r="O157" s="6">
        <f t="shared" si="29"/>
        <v>1</v>
      </c>
      <c r="P157" s="6">
        <f t="shared" si="29"/>
        <v>1.5</v>
      </c>
      <c r="Q157" s="6">
        <f t="shared" si="29"/>
        <v>2</v>
      </c>
      <c r="R157" s="6">
        <f t="shared" si="29"/>
        <v>2.5</v>
      </c>
      <c r="S157" s="6">
        <f t="shared" si="29"/>
        <v>3</v>
      </c>
      <c r="T157" s="6">
        <f t="shared" si="29"/>
        <v>3.5</v>
      </c>
      <c r="U157" s="6">
        <f t="shared" si="29"/>
        <v>4</v>
      </c>
      <c r="V157" s="6">
        <f t="shared" si="29"/>
        <v>4.5</v>
      </c>
    </row>
    <row r="158" spans="1:42" ht="13" x14ac:dyDescent="0.15">
      <c r="B158" s="4" t="s">
        <v>13</v>
      </c>
      <c r="C158" s="17">
        <f t="shared" ref="C158:V158" si="30">0.5 * C156* (1 + TANH(SQRT(2/PI()) * (C156 + 0.044715 * C156^3)))</f>
        <v>-2.2917961944868281E-7</v>
      </c>
      <c r="D158" s="17">
        <f t="shared" si="30"/>
        <v>-5.1367374121757958E-6</v>
      </c>
      <c r="E158" s="17">
        <f t="shared" si="30"/>
        <v>-7.0245948192271257E-5</v>
      </c>
      <c r="F158" s="17">
        <f t="shared" si="30"/>
        <v>-6.1619765537374027E-4</v>
      </c>
      <c r="G158" s="17">
        <f t="shared" si="30"/>
        <v>-3.6373920817728278E-3</v>
      </c>
      <c r="H158" s="17">
        <f t="shared" si="30"/>
        <v>-1.5084266089998577E-2</v>
      </c>
      <c r="I158" s="17">
        <f t="shared" si="30"/>
        <v>-4.5402305912224938E-2</v>
      </c>
      <c r="J158" s="17">
        <f t="shared" si="30"/>
        <v>-0.10042842301976715</v>
      </c>
      <c r="K158" s="17">
        <f t="shared" si="30"/>
        <v>-0.15880800939172324</v>
      </c>
      <c r="L158" s="17">
        <f t="shared" si="30"/>
        <v>-0.15428599017485609</v>
      </c>
      <c r="M158" s="17">
        <f t="shared" si="30"/>
        <v>0</v>
      </c>
      <c r="N158" s="17">
        <f t="shared" si="30"/>
        <v>0.34571400982514389</v>
      </c>
      <c r="O158" s="17">
        <f t="shared" si="30"/>
        <v>0.84119199060827676</v>
      </c>
      <c r="P158" s="17">
        <f t="shared" si="30"/>
        <v>1.3995715769802328</v>
      </c>
      <c r="Q158" s="17">
        <f t="shared" si="30"/>
        <v>1.954597694087775</v>
      </c>
      <c r="R158" s="17">
        <f t="shared" si="30"/>
        <v>2.4849157339100012</v>
      </c>
      <c r="S158" s="17">
        <f t="shared" si="30"/>
        <v>2.9963626079182273</v>
      </c>
      <c r="T158" s="17">
        <f t="shared" si="30"/>
        <v>3.4993838023446262</v>
      </c>
      <c r="U158" s="17">
        <f t="shared" si="30"/>
        <v>3.9999297540518075</v>
      </c>
      <c r="V158" s="17">
        <f t="shared" si="30"/>
        <v>4.4999948632625877</v>
      </c>
    </row>
    <row r="183" spans="1:42" ht="13" x14ac:dyDescent="0.15">
      <c r="A183" s="23" t="s">
        <v>14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7" spans="1:42" ht="13" x14ac:dyDescent="0.15">
      <c r="B187" s="2"/>
      <c r="C187" s="7"/>
    </row>
    <row r="189" spans="1:42" ht="13" x14ac:dyDescent="0.15">
      <c r="A189" s="18"/>
      <c r="B189" s="19" t="s">
        <v>1</v>
      </c>
      <c r="C189" s="20">
        <v>-4</v>
      </c>
      <c r="D189" s="20">
        <f>C189+0.25</f>
        <v>-3.75</v>
      </c>
      <c r="E189" s="20">
        <f>D189+0.25</f>
        <v>-3.5</v>
      </c>
      <c r="F189" s="20">
        <f>E189+0.25</f>
        <v>-3.25</v>
      </c>
      <c r="G189" s="20">
        <f>F189+0.25</f>
        <v>-3</v>
      </c>
      <c r="H189" s="20">
        <f>G189+0.25</f>
        <v>-2.75</v>
      </c>
      <c r="I189" s="20">
        <f>H189+0.25</f>
        <v>-2.5</v>
      </c>
      <c r="J189" s="20">
        <f>I189+0.25</f>
        <v>-2.25</v>
      </c>
      <c r="K189" s="20">
        <f>J189+0.25</f>
        <v>-2</v>
      </c>
      <c r="L189" s="20">
        <f>K189+0.25</f>
        <v>-1.75</v>
      </c>
      <c r="M189" s="20">
        <f>L189+0.25</f>
        <v>-1.5</v>
      </c>
      <c r="N189" s="20">
        <f>M189+0.25</f>
        <v>-1.25</v>
      </c>
      <c r="O189" s="20">
        <f>N189+0.25</f>
        <v>-1</v>
      </c>
      <c r="P189" s="20">
        <f>O189+0.25</f>
        <v>-0.75</v>
      </c>
      <c r="Q189" s="20">
        <f>P189+0.25</f>
        <v>-0.5</v>
      </c>
      <c r="R189" s="20">
        <f>Q189+0.25</f>
        <v>-0.25</v>
      </c>
      <c r="S189" s="20">
        <f>R189+0.25</f>
        <v>0</v>
      </c>
      <c r="T189" s="20">
        <f>S189+0.25</f>
        <v>0.25</v>
      </c>
      <c r="U189" s="20">
        <f>T189+0.25</f>
        <v>0.5</v>
      </c>
      <c r="V189" s="20">
        <f>U189+0.25</f>
        <v>0.75</v>
      </c>
      <c r="W189" s="18">
        <f>V189+0.25</f>
        <v>1</v>
      </c>
      <c r="X189" s="18">
        <f>W189+0.25</f>
        <v>1.25</v>
      </c>
      <c r="Y189" s="18">
        <f>X189+0.25</f>
        <v>1.5</v>
      </c>
      <c r="Z189" s="18">
        <f>Y189+0.25</f>
        <v>1.75</v>
      </c>
      <c r="AA189" s="18">
        <f>Z189+0.25</f>
        <v>2</v>
      </c>
      <c r="AB189" s="18">
        <f>AA189+0.25</f>
        <v>2.25</v>
      </c>
      <c r="AC189" s="18">
        <f>AB189+0.25</f>
        <v>2.5</v>
      </c>
      <c r="AD189" s="18">
        <f>AC189+0.25</f>
        <v>2.75</v>
      </c>
      <c r="AE189" s="18">
        <f>AD189+0.25</f>
        <v>3</v>
      </c>
      <c r="AF189" s="18">
        <f>AE189+0.25</f>
        <v>3.25</v>
      </c>
      <c r="AG189" s="18">
        <f>AF189+0.25</f>
        <v>3.5</v>
      </c>
      <c r="AH189" s="18">
        <f>AG189+0.25</f>
        <v>3.75</v>
      </c>
      <c r="AI189" s="18">
        <f>AH189+0.25</f>
        <v>4</v>
      </c>
      <c r="AJ189" s="18"/>
      <c r="AK189" s="18"/>
      <c r="AL189" s="18"/>
      <c r="AM189" s="18"/>
      <c r="AN189" s="18"/>
      <c r="AO189" s="18"/>
      <c r="AP189" s="18"/>
    </row>
    <row r="190" spans="1:42" ht="13" x14ac:dyDescent="0.15">
      <c r="B190" s="4" t="s">
        <v>2</v>
      </c>
      <c r="C190" s="6">
        <f t="shared" ref="C190:AI190" si="31">MAX(0, C189)</f>
        <v>0</v>
      </c>
      <c r="D190" s="6">
        <f t="shared" si="31"/>
        <v>0</v>
      </c>
      <c r="E190" s="6">
        <f t="shared" si="31"/>
        <v>0</v>
      </c>
      <c r="F190" s="6">
        <f t="shared" si="31"/>
        <v>0</v>
      </c>
      <c r="G190" s="6">
        <f t="shared" si="31"/>
        <v>0</v>
      </c>
      <c r="H190" s="6">
        <f t="shared" si="31"/>
        <v>0</v>
      </c>
      <c r="I190" s="6">
        <f t="shared" si="31"/>
        <v>0</v>
      </c>
      <c r="J190" s="6">
        <f t="shared" si="31"/>
        <v>0</v>
      </c>
      <c r="K190" s="6">
        <f t="shared" si="31"/>
        <v>0</v>
      </c>
      <c r="L190" s="6">
        <f t="shared" si="31"/>
        <v>0</v>
      </c>
      <c r="M190" s="6">
        <f t="shared" si="31"/>
        <v>0</v>
      </c>
      <c r="N190" s="6">
        <f t="shared" si="31"/>
        <v>0</v>
      </c>
      <c r="O190" s="6">
        <f t="shared" si="31"/>
        <v>0</v>
      </c>
      <c r="P190" s="6">
        <f t="shared" si="31"/>
        <v>0</v>
      </c>
      <c r="Q190" s="6">
        <f t="shared" si="31"/>
        <v>0</v>
      </c>
      <c r="R190" s="6">
        <f t="shared" si="31"/>
        <v>0</v>
      </c>
      <c r="S190" s="6">
        <f t="shared" si="31"/>
        <v>0</v>
      </c>
      <c r="T190" s="6">
        <f t="shared" si="31"/>
        <v>0.25</v>
      </c>
      <c r="U190" s="6">
        <f t="shared" si="31"/>
        <v>0.5</v>
      </c>
      <c r="V190" s="6">
        <f t="shared" si="31"/>
        <v>0.75</v>
      </c>
      <c r="W190" s="6">
        <f t="shared" si="31"/>
        <v>1</v>
      </c>
      <c r="X190" s="6">
        <f t="shared" si="31"/>
        <v>1.25</v>
      </c>
      <c r="Y190" s="6">
        <f t="shared" si="31"/>
        <v>1.5</v>
      </c>
      <c r="Z190" s="6">
        <f t="shared" si="31"/>
        <v>1.75</v>
      </c>
      <c r="AA190" s="6">
        <f t="shared" si="31"/>
        <v>2</v>
      </c>
      <c r="AB190" s="6">
        <f t="shared" si="31"/>
        <v>2.25</v>
      </c>
      <c r="AC190" s="6">
        <f t="shared" si="31"/>
        <v>2.5</v>
      </c>
      <c r="AD190" s="6">
        <f t="shared" si="31"/>
        <v>2.75</v>
      </c>
      <c r="AE190" s="6">
        <f t="shared" si="31"/>
        <v>3</v>
      </c>
      <c r="AF190" s="6">
        <f t="shared" si="31"/>
        <v>3.25</v>
      </c>
      <c r="AG190" s="6">
        <f t="shared" si="31"/>
        <v>3.5</v>
      </c>
      <c r="AH190" s="6">
        <f t="shared" si="31"/>
        <v>3.75</v>
      </c>
      <c r="AI190" s="6">
        <f t="shared" si="31"/>
        <v>4</v>
      </c>
    </row>
    <row r="191" spans="1:42" ht="13" x14ac:dyDescent="0.15">
      <c r="B191" s="8" t="s">
        <v>8</v>
      </c>
      <c r="C191" s="6">
        <f t="shared" ref="C191:AI191" si="32">MAX(0, C190)^2</f>
        <v>0</v>
      </c>
      <c r="D191" s="6">
        <f t="shared" si="32"/>
        <v>0</v>
      </c>
      <c r="E191" s="6">
        <f t="shared" si="32"/>
        <v>0</v>
      </c>
      <c r="F191" s="6">
        <f t="shared" si="32"/>
        <v>0</v>
      </c>
      <c r="G191" s="6">
        <f t="shared" si="32"/>
        <v>0</v>
      </c>
      <c r="H191" s="6">
        <f t="shared" si="32"/>
        <v>0</v>
      </c>
      <c r="I191" s="6">
        <f t="shared" si="32"/>
        <v>0</v>
      </c>
      <c r="J191" s="6">
        <f t="shared" si="32"/>
        <v>0</v>
      </c>
      <c r="K191" s="6">
        <f t="shared" si="32"/>
        <v>0</v>
      </c>
      <c r="L191" s="6">
        <f t="shared" si="32"/>
        <v>0</v>
      </c>
      <c r="M191" s="6">
        <f t="shared" si="32"/>
        <v>0</v>
      </c>
      <c r="N191" s="6">
        <f t="shared" si="32"/>
        <v>0</v>
      </c>
      <c r="O191" s="6">
        <f t="shared" si="32"/>
        <v>0</v>
      </c>
      <c r="P191" s="6">
        <f t="shared" si="32"/>
        <v>0</v>
      </c>
      <c r="Q191" s="6">
        <f t="shared" si="32"/>
        <v>0</v>
      </c>
      <c r="R191" s="6">
        <f t="shared" si="32"/>
        <v>0</v>
      </c>
      <c r="S191" s="6">
        <f t="shared" si="32"/>
        <v>0</v>
      </c>
      <c r="T191" s="6">
        <f t="shared" si="32"/>
        <v>6.25E-2</v>
      </c>
      <c r="U191" s="6">
        <f t="shared" si="32"/>
        <v>0.25</v>
      </c>
      <c r="V191" s="6">
        <f t="shared" si="32"/>
        <v>0.5625</v>
      </c>
      <c r="W191" s="6">
        <f t="shared" si="32"/>
        <v>1</v>
      </c>
      <c r="X191" s="6">
        <f t="shared" si="32"/>
        <v>1.5625</v>
      </c>
      <c r="Y191" s="6">
        <f t="shared" si="32"/>
        <v>2.25</v>
      </c>
      <c r="Z191" s="6">
        <f t="shared" si="32"/>
        <v>3.0625</v>
      </c>
      <c r="AA191" s="6">
        <f t="shared" si="32"/>
        <v>4</v>
      </c>
      <c r="AB191" s="6">
        <f t="shared" si="32"/>
        <v>5.0625</v>
      </c>
      <c r="AC191" s="6">
        <f t="shared" si="32"/>
        <v>6.25</v>
      </c>
      <c r="AD191" s="6">
        <f t="shared" si="32"/>
        <v>7.5625</v>
      </c>
      <c r="AE191" s="6">
        <f t="shared" si="32"/>
        <v>9</v>
      </c>
      <c r="AF191" s="6">
        <f t="shared" si="32"/>
        <v>10.5625</v>
      </c>
      <c r="AG191" s="6">
        <f t="shared" si="32"/>
        <v>12.25</v>
      </c>
      <c r="AH191" s="6">
        <f t="shared" si="32"/>
        <v>14.0625</v>
      </c>
      <c r="AI191" s="6">
        <f t="shared" si="32"/>
        <v>16</v>
      </c>
    </row>
    <row r="192" spans="1:42" ht="13" x14ac:dyDescent="0.15">
      <c r="B192" s="8" t="s">
        <v>11</v>
      </c>
      <c r="C192" s="6">
        <f t="shared" ref="C192:AI192" si="33">IF(C189&gt;0,C189, C189*$C$121)</f>
        <v>-0.8</v>
      </c>
      <c r="D192" s="6">
        <f t="shared" si="33"/>
        <v>-0.75</v>
      </c>
      <c r="E192" s="6">
        <f t="shared" si="33"/>
        <v>-0.70000000000000007</v>
      </c>
      <c r="F192" s="6">
        <f t="shared" si="33"/>
        <v>-0.65</v>
      </c>
      <c r="G192" s="6">
        <f t="shared" si="33"/>
        <v>-0.60000000000000009</v>
      </c>
      <c r="H192" s="6">
        <f t="shared" si="33"/>
        <v>-0.55000000000000004</v>
      </c>
      <c r="I192" s="6">
        <f t="shared" si="33"/>
        <v>-0.5</v>
      </c>
      <c r="J192" s="6">
        <f t="shared" si="33"/>
        <v>-0.45</v>
      </c>
      <c r="K192" s="6">
        <f t="shared" si="33"/>
        <v>-0.4</v>
      </c>
      <c r="L192" s="6">
        <f t="shared" si="33"/>
        <v>-0.35000000000000003</v>
      </c>
      <c r="M192" s="6">
        <f t="shared" si="33"/>
        <v>-0.30000000000000004</v>
      </c>
      <c r="N192" s="6">
        <f t="shared" si="33"/>
        <v>-0.25</v>
      </c>
      <c r="O192" s="6">
        <f t="shared" si="33"/>
        <v>-0.2</v>
      </c>
      <c r="P192" s="6">
        <f t="shared" si="33"/>
        <v>-0.15000000000000002</v>
      </c>
      <c r="Q192" s="6">
        <f t="shared" si="33"/>
        <v>-0.1</v>
      </c>
      <c r="R192" s="6">
        <f t="shared" si="33"/>
        <v>-0.05</v>
      </c>
      <c r="S192" s="6">
        <f t="shared" si="33"/>
        <v>0</v>
      </c>
      <c r="T192" s="6">
        <f t="shared" si="33"/>
        <v>0.25</v>
      </c>
      <c r="U192" s="6">
        <f t="shared" si="33"/>
        <v>0.5</v>
      </c>
      <c r="V192" s="6">
        <f t="shared" si="33"/>
        <v>0.75</v>
      </c>
      <c r="W192" s="6">
        <f t="shared" si="33"/>
        <v>1</v>
      </c>
      <c r="X192" s="6">
        <f t="shared" si="33"/>
        <v>1.25</v>
      </c>
      <c r="Y192" s="6">
        <f t="shared" si="33"/>
        <v>1.5</v>
      </c>
      <c r="Z192" s="6">
        <f t="shared" si="33"/>
        <v>1.75</v>
      </c>
      <c r="AA192" s="6">
        <f t="shared" si="33"/>
        <v>2</v>
      </c>
      <c r="AB192" s="6">
        <f t="shared" si="33"/>
        <v>2.25</v>
      </c>
      <c r="AC192" s="6">
        <f t="shared" si="33"/>
        <v>2.5</v>
      </c>
      <c r="AD192" s="6">
        <f t="shared" si="33"/>
        <v>2.75</v>
      </c>
      <c r="AE192" s="6">
        <f t="shared" si="33"/>
        <v>3</v>
      </c>
      <c r="AF192" s="6">
        <f t="shared" si="33"/>
        <v>3.25</v>
      </c>
      <c r="AG192" s="6">
        <f t="shared" si="33"/>
        <v>3.5</v>
      </c>
      <c r="AH192" s="6">
        <f t="shared" si="33"/>
        <v>3.75</v>
      </c>
      <c r="AI192" s="6">
        <f t="shared" si="33"/>
        <v>4</v>
      </c>
    </row>
    <row r="193" spans="2:35" ht="13" x14ac:dyDescent="0.15">
      <c r="B193" s="4" t="s">
        <v>13</v>
      </c>
      <c r="C193" s="17">
        <f t="shared" ref="C193:AI193" si="34">0.5 * C191* (1 + TANH(SQRT(2/PI()) * (C191 + 0.044715 * C191^3)))</f>
        <v>0</v>
      </c>
      <c r="D193" s="17">
        <f t="shared" si="34"/>
        <v>0</v>
      </c>
      <c r="E193" s="17">
        <f t="shared" si="34"/>
        <v>0</v>
      </c>
      <c r="F193" s="17">
        <f t="shared" si="34"/>
        <v>0</v>
      </c>
      <c r="G193" s="17">
        <f t="shared" si="34"/>
        <v>0</v>
      </c>
      <c r="H193" s="17">
        <f t="shared" si="34"/>
        <v>0</v>
      </c>
      <c r="I193" s="17">
        <f t="shared" si="34"/>
        <v>0</v>
      </c>
      <c r="J193" s="17">
        <f t="shared" si="34"/>
        <v>0</v>
      </c>
      <c r="K193" s="17">
        <f t="shared" si="34"/>
        <v>0</v>
      </c>
      <c r="L193" s="17">
        <f t="shared" si="34"/>
        <v>0</v>
      </c>
      <c r="M193" s="17">
        <f t="shared" si="34"/>
        <v>0</v>
      </c>
      <c r="N193" s="17">
        <f t="shared" si="34"/>
        <v>0</v>
      </c>
      <c r="O193" s="17">
        <f t="shared" si="34"/>
        <v>0</v>
      </c>
      <c r="P193" s="17">
        <f t="shared" si="34"/>
        <v>0</v>
      </c>
      <c r="Q193" s="17">
        <f t="shared" si="34"/>
        <v>0</v>
      </c>
      <c r="R193" s="17">
        <f t="shared" si="34"/>
        <v>0</v>
      </c>
      <c r="S193" s="17">
        <f t="shared" si="34"/>
        <v>0</v>
      </c>
      <c r="T193" s="17">
        <f t="shared" si="34"/>
        <v>3.2807349306281458E-2</v>
      </c>
      <c r="U193" s="17">
        <f t="shared" si="34"/>
        <v>0.149675350701685</v>
      </c>
      <c r="V193" s="17">
        <f t="shared" si="34"/>
        <v>0.40109939442952053</v>
      </c>
      <c r="W193" s="17">
        <f t="shared" si="34"/>
        <v>0.84119199060827676</v>
      </c>
      <c r="X193" s="17">
        <f t="shared" si="34"/>
        <v>1.4699806126108916</v>
      </c>
      <c r="Y193" s="17">
        <f t="shared" si="34"/>
        <v>2.2227986701027111</v>
      </c>
      <c r="Z193" s="17">
        <f t="shared" si="34"/>
        <v>3.0595273449625573</v>
      </c>
      <c r="AA193" s="17">
        <f t="shared" si="34"/>
        <v>3.9999297540518075</v>
      </c>
      <c r="AB193" s="17">
        <f t="shared" si="34"/>
        <v>5.0624998503171144</v>
      </c>
      <c r="AC193" s="17">
        <f t="shared" si="34"/>
        <v>6.2499999999920801</v>
      </c>
      <c r="AD193" s="17">
        <f t="shared" si="34"/>
        <v>7.5625</v>
      </c>
      <c r="AE193" s="17">
        <f t="shared" si="34"/>
        <v>9</v>
      </c>
      <c r="AF193" s="17">
        <f t="shared" si="34"/>
        <v>10.5625</v>
      </c>
      <c r="AG193" s="17">
        <f t="shared" si="34"/>
        <v>12.25</v>
      </c>
      <c r="AH193" s="17">
        <f t="shared" si="34"/>
        <v>14.0625</v>
      </c>
      <c r="AI193" s="17">
        <f t="shared" si="34"/>
        <v>16</v>
      </c>
    </row>
    <row r="194" spans="2:35" ht="13" x14ac:dyDescent="0.15">
      <c r="B194" s="8" t="s">
        <v>15</v>
      </c>
      <c r="C194" s="17">
        <f t="shared" ref="C194:AI194" si="35">TANH(C189)</f>
        <v>-0.99932929973906692</v>
      </c>
      <c r="D194" s="17">
        <f t="shared" si="35"/>
        <v>-0.99889444272615269</v>
      </c>
      <c r="E194" s="17">
        <f t="shared" si="35"/>
        <v>-0.99817789761119868</v>
      </c>
      <c r="F194" s="17">
        <f t="shared" si="35"/>
        <v>-0.99699763548652609</v>
      </c>
      <c r="G194" s="17">
        <f t="shared" si="35"/>
        <v>-0.99505475368673058</v>
      </c>
      <c r="H194" s="17">
        <f t="shared" si="35"/>
        <v>-0.99185972456820781</v>
      </c>
      <c r="I194" s="17">
        <f t="shared" si="35"/>
        <v>-0.98661429815143042</v>
      </c>
      <c r="J194" s="17">
        <f t="shared" si="35"/>
        <v>-0.97802611473881362</v>
      </c>
      <c r="K194" s="17">
        <f t="shared" si="35"/>
        <v>-0.96402758007581701</v>
      </c>
      <c r="L194" s="17">
        <f t="shared" si="35"/>
        <v>-0.94137553849728728</v>
      </c>
      <c r="M194" s="17">
        <f t="shared" si="35"/>
        <v>-0.9051482536448664</v>
      </c>
      <c r="N194" s="17">
        <f t="shared" si="35"/>
        <v>-0.84828363995751288</v>
      </c>
      <c r="O194" s="17">
        <f t="shared" si="35"/>
        <v>-0.76159415595576485</v>
      </c>
      <c r="P194" s="17">
        <f t="shared" si="35"/>
        <v>-0.6351489523872873</v>
      </c>
      <c r="Q194" s="17">
        <f t="shared" si="35"/>
        <v>-0.46211715726000979</v>
      </c>
      <c r="R194" s="17">
        <f t="shared" si="35"/>
        <v>-0.24491866240370913</v>
      </c>
      <c r="S194" s="17">
        <f t="shared" si="35"/>
        <v>0</v>
      </c>
      <c r="T194" s="17">
        <f t="shared" si="35"/>
        <v>0.24491866240370913</v>
      </c>
      <c r="U194" s="17">
        <f t="shared" si="35"/>
        <v>0.46211715726000979</v>
      </c>
      <c r="V194" s="17">
        <f t="shared" si="35"/>
        <v>0.6351489523872873</v>
      </c>
      <c r="W194" s="17">
        <f t="shared" si="35"/>
        <v>0.76159415595576485</v>
      </c>
      <c r="X194" s="17">
        <f t="shared" si="35"/>
        <v>0.84828363995751288</v>
      </c>
      <c r="Y194" s="17">
        <f t="shared" si="35"/>
        <v>0.9051482536448664</v>
      </c>
      <c r="Z194" s="17">
        <f t="shared" si="35"/>
        <v>0.94137553849728728</v>
      </c>
      <c r="AA194" s="17">
        <f t="shared" si="35"/>
        <v>0.96402758007581701</v>
      </c>
      <c r="AB194" s="17">
        <f t="shared" si="35"/>
        <v>0.97802611473881362</v>
      </c>
      <c r="AC194" s="17">
        <f t="shared" si="35"/>
        <v>0.98661429815143042</v>
      </c>
      <c r="AD194" s="17">
        <f t="shared" si="35"/>
        <v>0.99185972456820781</v>
      </c>
      <c r="AE194" s="17">
        <f t="shared" si="35"/>
        <v>0.99505475368673058</v>
      </c>
      <c r="AF194" s="17">
        <f t="shared" si="35"/>
        <v>0.99699763548652609</v>
      </c>
      <c r="AG194" s="17">
        <f t="shared" si="35"/>
        <v>0.99817789761119868</v>
      </c>
      <c r="AH194" s="17">
        <f t="shared" si="35"/>
        <v>0.99889444272615269</v>
      </c>
      <c r="AI194" s="17">
        <f t="shared" si="35"/>
        <v>0.99932929973906692</v>
      </c>
    </row>
    <row r="195" spans="2:35" ht="13" x14ac:dyDescent="0.15">
      <c r="B195" s="8" t="s">
        <v>16</v>
      </c>
      <c r="C195" s="17">
        <f t="shared" ref="C195:AI195" si="36">1/(1+EXP(-C189))</f>
        <v>1.7986209962091559E-2</v>
      </c>
      <c r="D195" s="17">
        <f t="shared" si="36"/>
        <v>2.2977369910025615E-2</v>
      </c>
      <c r="E195" s="17">
        <f t="shared" si="36"/>
        <v>2.9312230751356319E-2</v>
      </c>
      <c r="F195" s="17">
        <f t="shared" si="36"/>
        <v>3.7326887344129457E-2</v>
      </c>
      <c r="G195" s="17">
        <f t="shared" si="36"/>
        <v>4.7425873177566781E-2</v>
      </c>
      <c r="H195" s="17">
        <f t="shared" si="36"/>
        <v>6.0086650174007626E-2</v>
      </c>
      <c r="I195" s="17">
        <f t="shared" si="36"/>
        <v>7.5858180021243546E-2</v>
      </c>
      <c r="J195" s="17">
        <f t="shared" si="36"/>
        <v>9.534946489910949E-2</v>
      </c>
      <c r="K195" s="17">
        <f t="shared" si="36"/>
        <v>0.11920292202211755</v>
      </c>
      <c r="L195" s="17">
        <f t="shared" si="36"/>
        <v>0.14804719803168948</v>
      </c>
      <c r="M195" s="17">
        <f t="shared" si="36"/>
        <v>0.18242552380635635</v>
      </c>
      <c r="N195" s="17">
        <f t="shared" si="36"/>
        <v>0.22270013882530884</v>
      </c>
      <c r="O195" s="17">
        <f t="shared" si="36"/>
        <v>0.2689414213699951</v>
      </c>
      <c r="P195" s="17">
        <f t="shared" si="36"/>
        <v>0.32082130082460703</v>
      </c>
      <c r="Q195" s="17">
        <f t="shared" si="36"/>
        <v>0.37754066879814541</v>
      </c>
      <c r="R195" s="17">
        <f t="shared" si="36"/>
        <v>0.43782349911420193</v>
      </c>
      <c r="S195" s="17">
        <f t="shared" si="36"/>
        <v>0.5</v>
      </c>
      <c r="T195" s="17">
        <f t="shared" si="36"/>
        <v>0.56217650088579807</v>
      </c>
      <c r="U195" s="17">
        <f t="shared" si="36"/>
        <v>0.62245933120185459</v>
      </c>
      <c r="V195" s="17">
        <f t="shared" si="36"/>
        <v>0.67917869917539297</v>
      </c>
      <c r="W195" s="17">
        <f t="shared" si="36"/>
        <v>0.7310585786300049</v>
      </c>
      <c r="X195" s="17">
        <f t="shared" si="36"/>
        <v>0.77729986117469108</v>
      </c>
      <c r="Y195" s="17">
        <f t="shared" si="36"/>
        <v>0.81757447619364365</v>
      </c>
      <c r="Z195" s="17">
        <f t="shared" si="36"/>
        <v>0.85195280196831058</v>
      </c>
      <c r="AA195" s="17">
        <f t="shared" si="36"/>
        <v>0.88079707797788231</v>
      </c>
      <c r="AB195" s="17">
        <f t="shared" si="36"/>
        <v>0.90465053510089055</v>
      </c>
      <c r="AC195" s="17">
        <f t="shared" si="36"/>
        <v>0.92414181997875655</v>
      </c>
      <c r="AD195" s="17">
        <f t="shared" si="36"/>
        <v>0.93991334982599239</v>
      </c>
      <c r="AE195" s="17">
        <f t="shared" si="36"/>
        <v>0.95257412682243336</v>
      </c>
      <c r="AF195" s="17">
        <f t="shared" si="36"/>
        <v>0.96267311265587063</v>
      </c>
      <c r="AG195" s="17">
        <f t="shared" si="36"/>
        <v>0.97068776924864364</v>
      </c>
      <c r="AH195" s="17">
        <f t="shared" si="36"/>
        <v>0.97702263008997436</v>
      </c>
      <c r="AI195" s="17">
        <f t="shared" si="36"/>
        <v>0.98201379003790845</v>
      </c>
    </row>
    <row r="196" spans="2:35" ht="13" x14ac:dyDescent="0.15">
      <c r="B196" s="8" t="s">
        <v>17</v>
      </c>
      <c r="C196" s="17">
        <f t="shared" ref="C196:AI196" si="37">C189/(1+EXP(-C189))</f>
        <v>-7.1944839848366235E-2</v>
      </c>
      <c r="D196" s="17">
        <f t="shared" si="37"/>
        <v>-8.616513716259605E-2</v>
      </c>
      <c r="E196" s="17">
        <f t="shared" si="37"/>
        <v>-0.10259280762974712</v>
      </c>
      <c r="F196" s="17">
        <f t="shared" si="37"/>
        <v>-0.12131238386842075</v>
      </c>
      <c r="G196" s="17">
        <f t="shared" si="37"/>
        <v>-0.14227761953270035</v>
      </c>
      <c r="H196" s="17">
        <f t="shared" si="37"/>
        <v>-0.16523828797852097</v>
      </c>
      <c r="I196" s="17">
        <f t="shared" si="37"/>
        <v>-0.18964545005310887</v>
      </c>
      <c r="J196" s="17">
        <f t="shared" si="37"/>
        <v>-0.21453629602299634</v>
      </c>
      <c r="K196" s="17">
        <f t="shared" si="37"/>
        <v>-0.23840584404423509</v>
      </c>
      <c r="L196" s="17">
        <f t="shared" si="37"/>
        <v>-0.25908259655545657</v>
      </c>
      <c r="M196" s="17">
        <f t="shared" si="37"/>
        <v>-0.27363828570953452</v>
      </c>
      <c r="N196" s="17">
        <f t="shared" si="37"/>
        <v>-0.27837517353163604</v>
      </c>
      <c r="O196" s="17">
        <f t="shared" si="37"/>
        <v>-0.2689414213699951</v>
      </c>
      <c r="P196" s="17">
        <f t="shared" si="37"/>
        <v>-0.24061597561845527</v>
      </c>
      <c r="Q196" s="17">
        <f t="shared" si="37"/>
        <v>-0.1887703343990727</v>
      </c>
      <c r="R196" s="17">
        <f t="shared" si="37"/>
        <v>-0.10945587477855048</v>
      </c>
      <c r="S196" s="17">
        <f t="shared" si="37"/>
        <v>0</v>
      </c>
      <c r="T196" s="17">
        <f t="shared" si="37"/>
        <v>0.14054412522144952</v>
      </c>
      <c r="U196" s="17">
        <f t="shared" si="37"/>
        <v>0.3112296656009273</v>
      </c>
      <c r="V196" s="17">
        <f t="shared" si="37"/>
        <v>0.50938402438154473</v>
      </c>
      <c r="W196" s="17">
        <f t="shared" si="37"/>
        <v>0.7310585786300049</v>
      </c>
      <c r="X196" s="17">
        <f t="shared" si="37"/>
        <v>0.9716248264683639</v>
      </c>
      <c r="Y196" s="17">
        <f t="shared" si="37"/>
        <v>1.2263617142904655</v>
      </c>
      <c r="Z196" s="17">
        <f t="shared" si="37"/>
        <v>1.4909174034445436</v>
      </c>
      <c r="AA196" s="17">
        <f t="shared" si="37"/>
        <v>1.7615941559557646</v>
      </c>
      <c r="AB196" s="17">
        <f t="shared" si="37"/>
        <v>2.0354637039770038</v>
      </c>
      <c r="AC196" s="17">
        <f t="shared" si="37"/>
        <v>2.3103545499468914</v>
      </c>
      <c r="AD196" s="17">
        <f t="shared" si="37"/>
        <v>2.584761712021479</v>
      </c>
      <c r="AE196" s="17">
        <f t="shared" si="37"/>
        <v>2.8577223804672998</v>
      </c>
      <c r="AF196" s="17">
        <f t="shared" si="37"/>
        <v>3.1286876161315793</v>
      </c>
      <c r="AG196" s="17">
        <f t="shared" si="37"/>
        <v>3.3974071923702525</v>
      </c>
      <c r="AH196" s="17">
        <f t="shared" si="37"/>
        <v>3.6638348628374038</v>
      </c>
      <c r="AI196" s="17">
        <f t="shared" si="37"/>
        <v>3.9280551601516338</v>
      </c>
    </row>
    <row r="197" spans="2:35" ht="13" x14ac:dyDescent="0.15">
      <c r="B197" s="8" t="s">
        <v>18</v>
      </c>
      <c r="C197" s="17">
        <f t="array" ref="C197:AI197">(C189:AI189) *
  ((C189:AI189) / (1 + EXP(-(C189:AI189))))</f>
        <v>0.28777935939346494</v>
      </c>
      <c r="D197" s="17">
        <v>0.3231192643597352</v>
      </c>
      <c r="E197" s="17">
        <v>0.35907482670411495</v>
      </c>
      <c r="F197" s="17">
        <v>0.39426524757236742</v>
      </c>
      <c r="G197" s="17">
        <v>0.42683285859810105</v>
      </c>
      <c r="H197" s="17">
        <v>0.45440529194093265</v>
      </c>
      <c r="I197" s="17">
        <v>0.47411362513277217</v>
      </c>
      <c r="J197" s="17">
        <v>0.48270666605174178</v>
      </c>
      <c r="K197" s="17">
        <v>0.47681168808847019</v>
      </c>
      <c r="L197" s="17">
        <v>0.45339454397204898</v>
      </c>
      <c r="M197" s="17">
        <v>0.41045742856430179</v>
      </c>
      <c r="N197" s="17">
        <v>0.34796896691454504</v>
      </c>
      <c r="O197" s="17">
        <v>0.2689414213699951</v>
      </c>
      <c r="P197" s="17">
        <v>0.18046198171384145</v>
      </c>
      <c r="Q197" s="17">
        <v>9.4385167199536352E-2</v>
      </c>
      <c r="R197" s="17">
        <v>2.7363968694637621E-2</v>
      </c>
      <c r="S197" s="17">
        <v>0</v>
      </c>
      <c r="T197" s="17">
        <v>3.5136031305362379E-2</v>
      </c>
      <c r="U197" s="17">
        <v>0.15561483280046365</v>
      </c>
      <c r="V197" s="17">
        <v>0.38203801828615858</v>
      </c>
      <c r="W197" s="17">
        <v>0.7310585786300049</v>
      </c>
      <c r="X197" s="17">
        <v>1.2145310330854548</v>
      </c>
      <c r="Y197" s="17">
        <v>1.8395425714356981</v>
      </c>
      <c r="Z197" s="17">
        <v>2.6091054560279514</v>
      </c>
      <c r="AA197" s="17">
        <v>3.5231883119115293</v>
      </c>
      <c r="AB197" s="17">
        <v>4.5797933339482588</v>
      </c>
      <c r="AC197" s="17">
        <v>5.7758863748672287</v>
      </c>
      <c r="AD197" s="17">
        <v>7.1080947080590668</v>
      </c>
      <c r="AE197" s="17">
        <v>8.5731671414018997</v>
      </c>
      <c r="AF197" s="17">
        <v>10.168234752427633</v>
      </c>
      <c r="AG197" s="17">
        <v>11.890925173295884</v>
      </c>
      <c r="AH197" s="17">
        <v>13.739380735640264</v>
      </c>
      <c r="AI197" s="17">
        <v>15.712220640606535</v>
      </c>
    </row>
    <row r="200" spans="2:35" ht="13" x14ac:dyDescent="0.15">
      <c r="V200" s="7" t="s">
        <v>19</v>
      </c>
    </row>
    <row r="201" spans="2:35" ht="13" x14ac:dyDescent="0.15">
      <c r="V201" s="7" t="s">
        <v>20</v>
      </c>
    </row>
    <row r="202" spans="2:35" ht="13" x14ac:dyDescent="0.15">
      <c r="V202" s="7" t="s">
        <v>21</v>
      </c>
    </row>
    <row r="228" spans="1:42" ht="13" x14ac:dyDescent="0.15">
      <c r="A228" s="23" t="s">
        <v>22</v>
      </c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30" spans="1:42" ht="13" x14ac:dyDescent="0.15">
      <c r="A230" s="18"/>
      <c r="B230" s="20" t="s">
        <v>1</v>
      </c>
      <c r="C230" s="20">
        <v>-4</v>
      </c>
      <c r="D230" s="20">
        <f>C230+0.25</f>
        <v>-3.75</v>
      </c>
      <c r="E230" s="20">
        <f>D230+0.25</f>
        <v>-3.5</v>
      </c>
      <c r="F230" s="20">
        <f>E230+0.25</f>
        <v>-3.25</v>
      </c>
      <c r="G230" s="20">
        <f>F230+0.25</f>
        <v>-3</v>
      </c>
      <c r="H230" s="20">
        <f>G230+0.25</f>
        <v>-2.75</v>
      </c>
      <c r="I230" s="20">
        <f>H230+0.25</f>
        <v>-2.5</v>
      </c>
      <c r="J230" s="20">
        <f>I230+0.25</f>
        <v>-2.25</v>
      </c>
      <c r="K230" s="20">
        <f>J230+0.25</f>
        <v>-2</v>
      </c>
      <c r="L230" s="20">
        <f>K230+0.25</f>
        <v>-1.75</v>
      </c>
      <c r="M230" s="20">
        <f>L230+0.25</f>
        <v>-1.5</v>
      </c>
      <c r="N230" s="20">
        <f>M230+0.25</f>
        <v>-1.25</v>
      </c>
      <c r="O230" s="20">
        <f>N230+0.25</f>
        <v>-1</v>
      </c>
      <c r="P230" s="20">
        <f>O230+0.25</f>
        <v>-0.75</v>
      </c>
      <c r="Q230" s="20">
        <f>P230+0.25</f>
        <v>-0.5</v>
      </c>
      <c r="R230" s="20">
        <f>Q230+0.25</f>
        <v>-0.25</v>
      </c>
      <c r="S230" s="20">
        <f>R230+0.25</f>
        <v>0</v>
      </c>
      <c r="T230" s="20">
        <f>S230+0.25</f>
        <v>0.25</v>
      </c>
      <c r="U230" s="20">
        <f>T230+0.25</f>
        <v>0.5</v>
      </c>
      <c r="V230" s="20">
        <f>U230+0.25</f>
        <v>0.75</v>
      </c>
      <c r="W230" s="20">
        <f>V230+0.25</f>
        <v>1</v>
      </c>
      <c r="X230" s="20">
        <f>W230+0.25</f>
        <v>1.25</v>
      </c>
      <c r="Y230" s="20">
        <f>X230+0.25</f>
        <v>1.5</v>
      </c>
      <c r="Z230" s="20">
        <f>Y230+0.25</f>
        <v>1.75</v>
      </c>
      <c r="AA230" s="20">
        <f>Z230+0.25</f>
        <v>2</v>
      </c>
      <c r="AB230" s="20">
        <f>AA230+0.25</f>
        <v>2.25</v>
      </c>
      <c r="AC230" s="20">
        <f>AB230+0.25</f>
        <v>2.5</v>
      </c>
      <c r="AD230" s="20">
        <f>AC230+0.25</f>
        <v>2.75</v>
      </c>
      <c r="AE230" s="20">
        <f>AD230+0.25</f>
        <v>3</v>
      </c>
      <c r="AF230" s="20">
        <f>AE230+0.25</f>
        <v>3.25</v>
      </c>
      <c r="AG230" s="20">
        <f>AF230+0.25</f>
        <v>3.5</v>
      </c>
      <c r="AH230" s="20">
        <f>AG230+0.25</f>
        <v>3.75</v>
      </c>
      <c r="AI230" s="20">
        <f>AH230+0.25</f>
        <v>4</v>
      </c>
      <c r="AJ230" s="18"/>
      <c r="AK230" s="18"/>
      <c r="AL230" s="18"/>
      <c r="AM230" s="18"/>
      <c r="AN230" s="18"/>
      <c r="AO230" s="18"/>
      <c r="AP230" s="18"/>
    </row>
    <row r="231" spans="1:42" ht="13" x14ac:dyDescent="0.15">
      <c r="B231" s="22" t="s">
        <v>2</v>
      </c>
      <c r="C231" s="6">
        <f t="shared" ref="C231:AI231" si="38">MAX(0, C230)</f>
        <v>0</v>
      </c>
      <c r="D231" s="6">
        <f t="shared" si="38"/>
        <v>0</v>
      </c>
      <c r="E231" s="6">
        <f t="shared" si="38"/>
        <v>0</v>
      </c>
      <c r="F231" s="6">
        <f t="shared" si="38"/>
        <v>0</v>
      </c>
      <c r="G231" s="6">
        <f t="shared" si="38"/>
        <v>0</v>
      </c>
      <c r="H231" s="6">
        <f t="shared" si="38"/>
        <v>0</v>
      </c>
      <c r="I231" s="6">
        <f t="shared" si="38"/>
        <v>0</v>
      </c>
      <c r="J231" s="6">
        <f t="shared" si="38"/>
        <v>0</v>
      </c>
      <c r="K231" s="6">
        <f t="shared" si="38"/>
        <v>0</v>
      </c>
      <c r="L231" s="6">
        <f t="shared" si="38"/>
        <v>0</v>
      </c>
      <c r="M231" s="6">
        <f t="shared" si="38"/>
        <v>0</v>
      </c>
      <c r="N231" s="6">
        <f t="shared" si="38"/>
        <v>0</v>
      </c>
      <c r="O231" s="6">
        <f t="shared" si="38"/>
        <v>0</v>
      </c>
      <c r="P231" s="6">
        <f t="shared" si="38"/>
        <v>0</v>
      </c>
      <c r="Q231" s="6">
        <f t="shared" si="38"/>
        <v>0</v>
      </c>
      <c r="R231" s="6">
        <f t="shared" si="38"/>
        <v>0</v>
      </c>
      <c r="S231" s="6">
        <f t="shared" si="38"/>
        <v>0</v>
      </c>
      <c r="T231" s="6">
        <f t="shared" si="38"/>
        <v>0.25</v>
      </c>
      <c r="U231" s="6">
        <f t="shared" si="38"/>
        <v>0.5</v>
      </c>
      <c r="V231" s="6">
        <f t="shared" si="38"/>
        <v>0.75</v>
      </c>
      <c r="W231" s="6">
        <f t="shared" si="38"/>
        <v>1</v>
      </c>
      <c r="X231" s="6">
        <f t="shared" si="38"/>
        <v>1.25</v>
      </c>
      <c r="Y231" s="6">
        <f t="shared" si="38"/>
        <v>1.5</v>
      </c>
      <c r="Z231" s="6">
        <f t="shared" si="38"/>
        <v>1.75</v>
      </c>
      <c r="AA231" s="6">
        <f t="shared" si="38"/>
        <v>2</v>
      </c>
      <c r="AB231" s="6">
        <f t="shared" si="38"/>
        <v>2.25</v>
      </c>
      <c r="AC231" s="6">
        <f t="shared" si="38"/>
        <v>2.5</v>
      </c>
      <c r="AD231" s="6">
        <f t="shared" si="38"/>
        <v>2.75</v>
      </c>
      <c r="AE231" s="6">
        <f t="shared" si="38"/>
        <v>3</v>
      </c>
      <c r="AF231" s="6">
        <f t="shared" si="38"/>
        <v>3.25</v>
      </c>
      <c r="AG231" s="6">
        <f t="shared" si="38"/>
        <v>3.5</v>
      </c>
      <c r="AH231" s="6">
        <f t="shared" si="38"/>
        <v>3.75</v>
      </c>
      <c r="AI231" s="6">
        <f t="shared" si="38"/>
        <v>4</v>
      </c>
    </row>
    <row r="232" spans="1:42" ht="13" x14ac:dyDescent="0.15">
      <c r="B232" s="8" t="s">
        <v>23</v>
      </c>
      <c r="C232" s="6">
        <f t="shared" ref="C232:AI232" si="39">MAX(0, -C230)</f>
        <v>4</v>
      </c>
      <c r="D232" s="6">
        <f t="shared" si="39"/>
        <v>3.75</v>
      </c>
      <c r="E232" s="6">
        <f t="shared" si="39"/>
        <v>3.5</v>
      </c>
      <c r="F232" s="6">
        <f t="shared" si="39"/>
        <v>3.25</v>
      </c>
      <c r="G232" s="6">
        <f t="shared" si="39"/>
        <v>3</v>
      </c>
      <c r="H232" s="6">
        <f t="shared" si="39"/>
        <v>2.75</v>
      </c>
      <c r="I232" s="6">
        <f t="shared" si="39"/>
        <v>2.5</v>
      </c>
      <c r="J232" s="6">
        <f t="shared" si="39"/>
        <v>2.25</v>
      </c>
      <c r="K232" s="6">
        <f t="shared" si="39"/>
        <v>2</v>
      </c>
      <c r="L232" s="6">
        <f t="shared" si="39"/>
        <v>1.75</v>
      </c>
      <c r="M232" s="6">
        <f t="shared" si="39"/>
        <v>1.5</v>
      </c>
      <c r="N232" s="6">
        <f t="shared" si="39"/>
        <v>1.25</v>
      </c>
      <c r="O232" s="6">
        <f t="shared" si="39"/>
        <v>1</v>
      </c>
      <c r="P232" s="6">
        <f t="shared" si="39"/>
        <v>0.75</v>
      </c>
      <c r="Q232" s="6">
        <f t="shared" si="39"/>
        <v>0.5</v>
      </c>
      <c r="R232" s="6">
        <f t="shared" si="39"/>
        <v>0.25</v>
      </c>
      <c r="S232" s="6">
        <f t="shared" si="39"/>
        <v>0</v>
      </c>
      <c r="T232" s="6">
        <f t="shared" si="39"/>
        <v>0</v>
      </c>
      <c r="U232" s="6">
        <f t="shared" si="39"/>
        <v>0</v>
      </c>
      <c r="V232" s="6">
        <f t="shared" si="39"/>
        <v>0</v>
      </c>
      <c r="W232" s="6">
        <f t="shared" si="39"/>
        <v>0</v>
      </c>
      <c r="X232" s="6">
        <f t="shared" si="39"/>
        <v>0</v>
      </c>
      <c r="Y232" s="6">
        <f t="shared" si="39"/>
        <v>0</v>
      </c>
      <c r="Z232" s="6">
        <f t="shared" si="39"/>
        <v>0</v>
      </c>
      <c r="AA232" s="6">
        <f t="shared" si="39"/>
        <v>0</v>
      </c>
      <c r="AB232" s="6">
        <f t="shared" si="39"/>
        <v>0</v>
      </c>
      <c r="AC232" s="6">
        <f t="shared" si="39"/>
        <v>0</v>
      </c>
      <c r="AD232" s="6">
        <f t="shared" si="39"/>
        <v>0</v>
      </c>
      <c r="AE232" s="6">
        <f t="shared" si="39"/>
        <v>0</v>
      </c>
      <c r="AF232" s="6">
        <f t="shared" si="39"/>
        <v>0</v>
      </c>
      <c r="AG232" s="6">
        <f t="shared" si="39"/>
        <v>0</v>
      </c>
      <c r="AH232" s="6">
        <f t="shared" si="39"/>
        <v>0</v>
      </c>
      <c r="AI232" s="6">
        <f t="shared" si="39"/>
        <v>0</v>
      </c>
    </row>
    <row r="233" spans="1:42" ht="13" x14ac:dyDescent="0.15">
      <c r="B233" s="22" t="s">
        <v>24</v>
      </c>
      <c r="C233" s="6">
        <f t="shared" ref="C233:AI233" si="40">C231+C232</f>
        <v>4</v>
      </c>
      <c r="D233" s="6">
        <f t="shared" si="40"/>
        <v>3.75</v>
      </c>
      <c r="E233" s="6">
        <f t="shared" si="40"/>
        <v>3.5</v>
      </c>
      <c r="F233" s="6">
        <f t="shared" si="40"/>
        <v>3.25</v>
      </c>
      <c r="G233" s="6">
        <f t="shared" si="40"/>
        <v>3</v>
      </c>
      <c r="H233" s="6">
        <f t="shared" si="40"/>
        <v>2.75</v>
      </c>
      <c r="I233" s="6">
        <f t="shared" si="40"/>
        <v>2.5</v>
      </c>
      <c r="J233" s="6">
        <f t="shared" si="40"/>
        <v>2.25</v>
      </c>
      <c r="K233" s="6">
        <f t="shared" si="40"/>
        <v>2</v>
      </c>
      <c r="L233" s="6">
        <f t="shared" si="40"/>
        <v>1.75</v>
      </c>
      <c r="M233" s="6">
        <f t="shared" si="40"/>
        <v>1.5</v>
      </c>
      <c r="N233" s="6">
        <f t="shared" si="40"/>
        <v>1.25</v>
      </c>
      <c r="O233" s="6">
        <f t="shared" si="40"/>
        <v>1</v>
      </c>
      <c r="P233" s="6">
        <f t="shared" si="40"/>
        <v>0.75</v>
      </c>
      <c r="Q233" s="6">
        <f t="shared" si="40"/>
        <v>0.5</v>
      </c>
      <c r="R233" s="6">
        <f t="shared" si="40"/>
        <v>0.25</v>
      </c>
      <c r="S233" s="6">
        <f t="shared" si="40"/>
        <v>0</v>
      </c>
      <c r="T233" s="6">
        <f t="shared" si="40"/>
        <v>0.25</v>
      </c>
      <c r="U233" s="6">
        <f t="shared" si="40"/>
        <v>0.5</v>
      </c>
      <c r="V233" s="6">
        <f t="shared" si="40"/>
        <v>0.75</v>
      </c>
      <c r="W233" s="6">
        <f t="shared" si="40"/>
        <v>1</v>
      </c>
      <c r="X233" s="6">
        <f t="shared" si="40"/>
        <v>1.25</v>
      </c>
      <c r="Y233" s="6">
        <f t="shared" si="40"/>
        <v>1.5</v>
      </c>
      <c r="Z233" s="6">
        <f t="shared" si="40"/>
        <v>1.75</v>
      </c>
      <c r="AA233" s="6">
        <f t="shared" si="40"/>
        <v>2</v>
      </c>
      <c r="AB233" s="6">
        <f t="shared" si="40"/>
        <v>2.25</v>
      </c>
      <c r="AC233" s="6">
        <f t="shared" si="40"/>
        <v>2.5</v>
      </c>
      <c r="AD233" s="6">
        <f t="shared" si="40"/>
        <v>2.75</v>
      </c>
      <c r="AE233" s="6">
        <f t="shared" si="40"/>
        <v>3</v>
      </c>
      <c r="AF233" s="6">
        <f t="shared" si="40"/>
        <v>3.25</v>
      </c>
      <c r="AG233" s="6">
        <f t="shared" si="40"/>
        <v>3.5</v>
      </c>
      <c r="AH233" s="6">
        <f t="shared" si="40"/>
        <v>3.75</v>
      </c>
      <c r="AI233" s="6">
        <f t="shared" si="40"/>
        <v>4</v>
      </c>
    </row>
    <row r="236" spans="1:42" ht="13" x14ac:dyDescent="0.15">
      <c r="R236" s="7" t="s">
        <v>25</v>
      </c>
    </row>
  </sheetData>
  <mergeCells count="9">
    <mergeCell ref="A183:Z183"/>
    <mergeCell ref="A228:Z228"/>
    <mergeCell ref="A1:Z1"/>
    <mergeCell ref="A6:Z6"/>
    <mergeCell ref="A11:Z11"/>
    <mergeCell ref="A32:Z32"/>
    <mergeCell ref="A88:Z88"/>
    <mergeCell ref="A117:Z117"/>
    <mergeCell ref="A150:Z150"/>
  </mergeCells>
  <conditionalFormatting sqref="D35:V5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232"/>
  <sheetViews>
    <sheetView workbookViewId="0"/>
  </sheetViews>
  <sheetFormatPr baseColWidth="10" defaultColWidth="12.6640625" defaultRowHeight="15.75" customHeight="1" x14ac:dyDescent="0.15"/>
  <cols>
    <col min="1" max="42" width="5.33203125" customWidth="1"/>
  </cols>
  <sheetData>
    <row r="1" spans="1:42" ht="15.75" customHeight="1" x14ac:dyDescent="0.1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spans="1:42" ht="15.75" customHeight="1" x14ac:dyDescent="0.15">
      <c r="B3" s="2" t="s">
        <v>1</v>
      </c>
      <c r="C3" s="3">
        <v>5</v>
      </c>
    </row>
    <row r="4" spans="1:42" ht="15.75" customHeight="1" x14ac:dyDescent="0.15">
      <c r="B4" s="4" t="s">
        <v>2</v>
      </c>
      <c r="C4" s="6">
        <f>MAX(0, C3)</f>
        <v>5</v>
      </c>
    </row>
    <row r="6" spans="1:42" ht="15.75" customHeight="1" x14ac:dyDescent="0.15">
      <c r="A6" s="23" t="s">
        <v>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8" spans="1:42" ht="15.75" customHeight="1" x14ac:dyDescent="0.15">
      <c r="B8" s="2" t="s">
        <v>1</v>
      </c>
      <c r="C8" s="6">
        <v>-5</v>
      </c>
      <c r="D8" s="7">
        <f>C8+0.5</f>
        <v>-4.5</v>
      </c>
      <c r="E8" s="7">
        <f>D8+0.5</f>
        <v>-4</v>
      </c>
      <c r="F8" s="7">
        <f>E8+0.5</f>
        <v>-3.5</v>
      </c>
      <c r="G8" s="7">
        <f>F8+0.5</f>
        <v>-3</v>
      </c>
      <c r="H8" s="7">
        <f>G8+0.5</f>
        <v>-2.5</v>
      </c>
      <c r="I8" s="7">
        <f>H8+0.5</f>
        <v>-2</v>
      </c>
      <c r="J8" s="7">
        <f>I8+0.5</f>
        <v>-1.5</v>
      </c>
      <c r="K8" s="7">
        <f>J8+0.5</f>
        <v>-1</v>
      </c>
      <c r="L8" s="7">
        <f>K8+0.5</f>
        <v>-0.5</v>
      </c>
      <c r="M8" s="7">
        <f>L8+0.5</f>
        <v>0</v>
      </c>
      <c r="N8" s="7">
        <f>M8+0.5</f>
        <v>0.5</v>
      </c>
      <c r="O8" s="7">
        <f>N8+0.5</f>
        <v>1</v>
      </c>
      <c r="P8" s="7">
        <f>O8+0.5</f>
        <v>1.5</v>
      </c>
      <c r="Q8" s="7">
        <f>P8+0.5</f>
        <v>2</v>
      </c>
      <c r="R8" s="7">
        <f>Q8+0.5</f>
        <v>2.5</v>
      </c>
      <c r="S8" s="7">
        <f>R8+0.5</f>
        <v>3</v>
      </c>
      <c r="T8" s="7">
        <f>S8+0.5</f>
        <v>3.5</v>
      </c>
      <c r="U8" s="7">
        <f>T8+0.5</f>
        <v>4</v>
      </c>
      <c r="V8" s="7">
        <f>U8+0.5</f>
        <v>4.5</v>
      </c>
    </row>
    <row r="9" spans="1:42" ht="15.75" customHeight="1" x14ac:dyDescent="0.15">
      <c r="B9" s="4" t="s">
        <v>2</v>
      </c>
      <c r="C9" s="6">
        <f t="shared" ref="C9:V9" si="0">MAX(0, C8)</f>
        <v>0</v>
      </c>
      <c r="D9" s="6">
        <f t="shared" si="0"/>
        <v>0</v>
      </c>
      <c r="E9" s="6">
        <f t="shared" si="0"/>
        <v>0</v>
      </c>
      <c r="F9" s="6">
        <f t="shared" si="0"/>
        <v>0</v>
      </c>
      <c r="G9" s="6">
        <f t="shared" si="0"/>
        <v>0</v>
      </c>
      <c r="H9" s="6">
        <f t="shared" si="0"/>
        <v>0</v>
      </c>
      <c r="I9" s="6">
        <f t="shared" si="0"/>
        <v>0</v>
      </c>
      <c r="J9" s="6">
        <f t="shared" si="0"/>
        <v>0</v>
      </c>
      <c r="K9" s="6">
        <f t="shared" si="0"/>
        <v>0</v>
      </c>
      <c r="L9" s="6">
        <f t="shared" si="0"/>
        <v>0</v>
      </c>
      <c r="M9" s="6">
        <f t="shared" si="0"/>
        <v>0</v>
      </c>
      <c r="N9" s="6">
        <f t="shared" si="0"/>
        <v>0.5</v>
      </c>
      <c r="O9" s="6">
        <f t="shared" si="0"/>
        <v>1</v>
      </c>
      <c r="P9" s="6">
        <f t="shared" si="0"/>
        <v>1.5</v>
      </c>
      <c r="Q9" s="6">
        <f t="shared" si="0"/>
        <v>2</v>
      </c>
      <c r="R9" s="6">
        <f t="shared" si="0"/>
        <v>2.5</v>
      </c>
      <c r="S9" s="6">
        <f t="shared" si="0"/>
        <v>3</v>
      </c>
      <c r="T9" s="6">
        <f t="shared" si="0"/>
        <v>3.5</v>
      </c>
      <c r="U9" s="6">
        <f t="shared" si="0"/>
        <v>4</v>
      </c>
      <c r="V9" s="6">
        <f t="shared" si="0"/>
        <v>4.5</v>
      </c>
    </row>
    <row r="11" spans="1:42" ht="15.75" customHeight="1" x14ac:dyDescent="0.15">
      <c r="A11" s="23" t="s">
        <v>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32" spans="1:42" ht="15.75" customHeight="1" x14ac:dyDescent="0.15">
      <c r="A32" s="23" t="s">
        <v>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4" spans="2:22" ht="15.75" customHeight="1" x14ac:dyDescent="0.15">
      <c r="B34" s="8" t="s">
        <v>1</v>
      </c>
      <c r="C34" s="9">
        <v>-5</v>
      </c>
      <c r="D34" s="10">
        <f>C34+0.5</f>
        <v>-4.5</v>
      </c>
      <c r="E34" s="10">
        <f>D34+0.5</f>
        <v>-4</v>
      </c>
      <c r="F34" s="10">
        <f>E34+0.5</f>
        <v>-3.5</v>
      </c>
      <c r="G34" s="10">
        <f>F34+0.5</f>
        <v>-3</v>
      </c>
      <c r="H34" s="10">
        <f>G34+0.5</f>
        <v>-2.5</v>
      </c>
      <c r="I34" s="10">
        <f>H34+0.5</f>
        <v>-2</v>
      </c>
      <c r="J34" s="10">
        <f>I34+0.5</f>
        <v>-1.5</v>
      </c>
      <c r="K34" s="10">
        <f>J34+0.5</f>
        <v>-1</v>
      </c>
      <c r="L34" s="10">
        <f>K34+0.5</f>
        <v>-0.5</v>
      </c>
      <c r="M34" s="10">
        <f>L34+0.5</f>
        <v>0</v>
      </c>
      <c r="N34" s="10">
        <f>M34+0.5</f>
        <v>0.5</v>
      </c>
      <c r="O34" s="10">
        <f>N34+0.5</f>
        <v>1</v>
      </c>
      <c r="P34" s="10">
        <f>O34+0.5</f>
        <v>1.5</v>
      </c>
      <c r="Q34" s="10">
        <f>P34+0.5</f>
        <v>2</v>
      </c>
      <c r="R34" s="10">
        <f>Q34+0.5</f>
        <v>2.5</v>
      </c>
      <c r="S34" s="10">
        <f>R34+0.5</f>
        <v>3</v>
      </c>
      <c r="T34" s="10">
        <f>S34+0.5</f>
        <v>3.5</v>
      </c>
      <c r="U34" s="10">
        <f>T34+0.5</f>
        <v>4</v>
      </c>
      <c r="V34" s="10">
        <f>U34+0.5</f>
        <v>4.5</v>
      </c>
    </row>
    <row r="35" spans="2:22" ht="15.75" customHeight="1" x14ac:dyDescent="0.15">
      <c r="B35" s="4"/>
      <c r="C35" s="9">
        <v>-4.5</v>
      </c>
      <c r="D35" s="6">
        <f t="shared" ref="D35:V35" si="1">D$34+$C35</f>
        <v>-9</v>
      </c>
      <c r="E35" s="6">
        <f t="shared" si="1"/>
        <v>-8.5</v>
      </c>
      <c r="F35" s="6">
        <f t="shared" si="1"/>
        <v>-8</v>
      </c>
      <c r="G35" s="6">
        <f t="shared" si="1"/>
        <v>-7.5</v>
      </c>
      <c r="H35" s="6">
        <f t="shared" si="1"/>
        <v>-7</v>
      </c>
      <c r="I35" s="6">
        <f t="shared" si="1"/>
        <v>-6.5</v>
      </c>
      <c r="J35" s="6">
        <f t="shared" si="1"/>
        <v>-6</v>
      </c>
      <c r="K35" s="6">
        <f t="shared" si="1"/>
        <v>-5.5</v>
      </c>
      <c r="L35" s="6">
        <f t="shared" si="1"/>
        <v>-5</v>
      </c>
      <c r="M35" s="6">
        <f t="shared" si="1"/>
        <v>-4.5</v>
      </c>
      <c r="N35" s="6">
        <f t="shared" si="1"/>
        <v>-4</v>
      </c>
      <c r="O35" s="6">
        <f t="shared" si="1"/>
        <v>-3.5</v>
      </c>
      <c r="P35" s="6">
        <f t="shared" si="1"/>
        <v>-3</v>
      </c>
      <c r="Q35" s="6">
        <f t="shared" si="1"/>
        <v>-2.5</v>
      </c>
      <c r="R35" s="6">
        <f t="shared" si="1"/>
        <v>-2</v>
      </c>
      <c r="S35" s="6">
        <f t="shared" si="1"/>
        <v>-1.5</v>
      </c>
      <c r="T35" s="6">
        <f t="shared" si="1"/>
        <v>-1</v>
      </c>
      <c r="U35" s="6">
        <f t="shared" si="1"/>
        <v>-0.5</v>
      </c>
      <c r="V35" s="6">
        <f t="shared" si="1"/>
        <v>0</v>
      </c>
    </row>
    <row r="36" spans="2:22" ht="15.75" customHeight="1" x14ac:dyDescent="0.15">
      <c r="C36" s="9">
        <f>C35+0.5</f>
        <v>-4</v>
      </c>
      <c r="D36" s="6">
        <f t="shared" ref="D36:V36" si="2">D$34+$C36</f>
        <v>-8.5</v>
      </c>
      <c r="E36" s="6">
        <f t="shared" si="2"/>
        <v>-8</v>
      </c>
      <c r="F36" s="6">
        <f t="shared" si="2"/>
        <v>-7.5</v>
      </c>
      <c r="G36" s="6">
        <f t="shared" si="2"/>
        <v>-7</v>
      </c>
      <c r="H36" s="6">
        <f t="shared" si="2"/>
        <v>-6.5</v>
      </c>
      <c r="I36" s="6">
        <f t="shared" si="2"/>
        <v>-6</v>
      </c>
      <c r="J36" s="6">
        <f t="shared" si="2"/>
        <v>-5.5</v>
      </c>
      <c r="K36" s="6">
        <f t="shared" si="2"/>
        <v>-5</v>
      </c>
      <c r="L36" s="6">
        <f t="shared" si="2"/>
        <v>-4.5</v>
      </c>
      <c r="M36" s="6">
        <f t="shared" si="2"/>
        <v>-4</v>
      </c>
      <c r="N36" s="6">
        <f t="shared" si="2"/>
        <v>-3.5</v>
      </c>
      <c r="O36" s="6">
        <f t="shared" si="2"/>
        <v>-3</v>
      </c>
      <c r="P36" s="6">
        <f t="shared" si="2"/>
        <v>-2.5</v>
      </c>
      <c r="Q36" s="6">
        <f t="shared" si="2"/>
        <v>-2</v>
      </c>
      <c r="R36" s="6">
        <f t="shared" si="2"/>
        <v>-1.5</v>
      </c>
      <c r="S36" s="6">
        <f t="shared" si="2"/>
        <v>-1</v>
      </c>
      <c r="T36" s="6">
        <f t="shared" si="2"/>
        <v>-0.5</v>
      </c>
      <c r="U36" s="6">
        <f t="shared" si="2"/>
        <v>0</v>
      </c>
      <c r="V36" s="6">
        <f t="shared" si="2"/>
        <v>0.5</v>
      </c>
    </row>
    <row r="37" spans="2:22" ht="15.75" customHeight="1" x14ac:dyDescent="0.15">
      <c r="C37" s="9">
        <f>C36+0.5</f>
        <v>-3.5</v>
      </c>
      <c r="D37" s="6">
        <f t="shared" ref="D37:V37" si="3">D$34+$C37</f>
        <v>-8</v>
      </c>
      <c r="E37" s="6">
        <f t="shared" si="3"/>
        <v>-7.5</v>
      </c>
      <c r="F37" s="6">
        <f t="shared" si="3"/>
        <v>-7</v>
      </c>
      <c r="G37" s="6">
        <f t="shared" si="3"/>
        <v>-6.5</v>
      </c>
      <c r="H37" s="6">
        <f t="shared" si="3"/>
        <v>-6</v>
      </c>
      <c r="I37" s="6">
        <f t="shared" si="3"/>
        <v>-5.5</v>
      </c>
      <c r="J37" s="6">
        <f t="shared" si="3"/>
        <v>-5</v>
      </c>
      <c r="K37" s="6">
        <f t="shared" si="3"/>
        <v>-4.5</v>
      </c>
      <c r="L37" s="6">
        <f t="shared" si="3"/>
        <v>-4</v>
      </c>
      <c r="M37" s="6">
        <f t="shared" si="3"/>
        <v>-3.5</v>
      </c>
      <c r="N37" s="6">
        <f t="shared" si="3"/>
        <v>-3</v>
      </c>
      <c r="O37" s="6">
        <f t="shared" si="3"/>
        <v>-2.5</v>
      </c>
      <c r="P37" s="6">
        <f t="shared" si="3"/>
        <v>-2</v>
      </c>
      <c r="Q37" s="6">
        <f t="shared" si="3"/>
        <v>-1.5</v>
      </c>
      <c r="R37" s="6">
        <f t="shared" si="3"/>
        <v>-1</v>
      </c>
      <c r="S37" s="6">
        <f t="shared" si="3"/>
        <v>-0.5</v>
      </c>
      <c r="T37" s="6">
        <f t="shared" si="3"/>
        <v>0</v>
      </c>
      <c r="U37" s="6">
        <f t="shared" si="3"/>
        <v>0.5</v>
      </c>
      <c r="V37" s="6">
        <f t="shared" si="3"/>
        <v>1</v>
      </c>
    </row>
    <row r="38" spans="2:22" ht="15.75" customHeight="1" x14ac:dyDescent="0.15">
      <c r="C38" s="9">
        <f>C37+0.5</f>
        <v>-3</v>
      </c>
      <c r="D38" s="6">
        <f t="shared" ref="D38:V38" si="4">D$34+$C38</f>
        <v>-7.5</v>
      </c>
      <c r="E38" s="6">
        <f t="shared" si="4"/>
        <v>-7</v>
      </c>
      <c r="F38" s="6">
        <f t="shared" si="4"/>
        <v>-6.5</v>
      </c>
      <c r="G38" s="6">
        <f t="shared" si="4"/>
        <v>-6</v>
      </c>
      <c r="H38" s="6">
        <f t="shared" si="4"/>
        <v>-5.5</v>
      </c>
      <c r="I38" s="6">
        <f t="shared" si="4"/>
        <v>-5</v>
      </c>
      <c r="J38" s="6">
        <f t="shared" si="4"/>
        <v>-4.5</v>
      </c>
      <c r="K38" s="6">
        <f t="shared" si="4"/>
        <v>-4</v>
      </c>
      <c r="L38" s="6">
        <f t="shared" si="4"/>
        <v>-3.5</v>
      </c>
      <c r="M38" s="6">
        <f t="shared" si="4"/>
        <v>-3</v>
      </c>
      <c r="N38" s="6">
        <f t="shared" si="4"/>
        <v>-2.5</v>
      </c>
      <c r="O38" s="6">
        <f t="shared" si="4"/>
        <v>-2</v>
      </c>
      <c r="P38" s="6">
        <f t="shared" si="4"/>
        <v>-1.5</v>
      </c>
      <c r="Q38" s="6">
        <f t="shared" si="4"/>
        <v>-1</v>
      </c>
      <c r="R38" s="6">
        <f t="shared" si="4"/>
        <v>-0.5</v>
      </c>
      <c r="S38" s="6">
        <f t="shared" si="4"/>
        <v>0</v>
      </c>
      <c r="T38" s="6">
        <f t="shared" si="4"/>
        <v>0.5</v>
      </c>
      <c r="U38" s="6">
        <f t="shared" si="4"/>
        <v>1</v>
      </c>
      <c r="V38" s="6">
        <f t="shared" si="4"/>
        <v>1.5</v>
      </c>
    </row>
    <row r="39" spans="2:22" ht="15.75" customHeight="1" x14ac:dyDescent="0.15">
      <c r="C39" s="9">
        <f>C38+0.5</f>
        <v>-2.5</v>
      </c>
      <c r="D39" s="6">
        <f t="shared" ref="D39:V39" si="5">D$34+$C39</f>
        <v>-7</v>
      </c>
      <c r="E39" s="6">
        <f t="shared" si="5"/>
        <v>-6.5</v>
      </c>
      <c r="F39" s="6">
        <f t="shared" si="5"/>
        <v>-6</v>
      </c>
      <c r="G39" s="6">
        <f t="shared" si="5"/>
        <v>-5.5</v>
      </c>
      <c r="H39" s="6">
        <f t="shared" si="5"/>
        <v>-5</v>
      </c>
      <c r="I39" s="6">
        <f t="shared" si="5"/>
        <v>-4.5</v>
      </c>
      <c r="J39" s="6">
        <f t="shared" si="5"/>
        <v>-4</v>
      </c>
      <c r="K39" s="6">
        <f t="shared" si="5"/>
        <v>-3.5</v>
      </c>
      <c r="L39" s="6">
        <f t="shared" si="5"/>
        <v>-3</v>
      </c>
      <c r="M39" s="6">
        <f t="shared" si="5"/>
        <v>-2.5</v>
      </c>
      <c r="N39" s="6">
        <f t="shared" si="5"/>
        <v>-2</v>
      </c>
      <c r="O39" s="6">
        <f t="shared" si="5"/>
        <v>-1.5</v>
      </c>
      <c r="P39" s="6">
        <f t="shared" si="5"/>
        <v>-1</v>
      </c>
      <c r="Q39" s="6">
        <f t="shared" si="5"/>
        <v>-0.5</v>
      </c>
      <c r="R39" s="6">
        <f t="shared" si="5"/>
        <v>0</v>
      </c>
      <c r="S39" s="6">
        <f t="shared" si="5"/>
        <v>0.5</v>
      </c>
      <c r="T39" s="6">
        <f t="shared" si="5"/>
        <v>1</v>
      </c>
      <c r="U39" s="6">
        <f t="shared" si="5"/>
        <v>1.5</v>
      </c>
      <c r="V39" s="6">
        <f t="shared" si="5"/>
        <v>2</v>
      </c>
    </row>
    <row r="40" spans="2:22" ht="15.75" customHeight="1" x14ac:dyDescent="0.15">
      <c r="C40" s="9">
        <f>C39+0.5</f>
        <v>-2</v>
      </c>
      <c r="D40" s="6">
        <f t="shared" ref="D40:V40" si="6">D$34+$C40</f>
        <v>-6.5</v>
      </c>
      <c r="E40" s="6">
        <f t="shared" si="6"/>
        <v>-6</v>
      </c>
      <c r="F40" s="6">
        <f t="shared" si="6"/>
        <v>-5.5</v>
      </c>
      <c r="G40" s="6">
        <f t="shared" si="6"/>
        <v>-5</v>
      </c>
      <c r="H40" s="6">
        <f t="shared" si="6"/>
        <v>-4.5</v>
      </c>
      <c r="I40" s="6">
        <f t="shared" si="6"/>
        <v>-4</v>
      </c>
      <c r="J40" s="6">
        <f t="shared" si="6"/>
        <v>-3.5</v>
      </c>
      <c r="K40" s="6">
        <f t="shared" si="6"/>
        <v>-3</v>
      </c>
      <c r="L40" s="6">
        <f t="shared" si="6"/>
        <v>-2.5</v>
      </c>
      <c r="M40" s="6">
        <f t="shared" si="6"/>
        <v>-2</v>
      </c>
      <c r="N40" s="6">
        <f t="shared" si="6"/>
        <v>-1.5</v>
      </c>
      <c r="O40" s="6">
        <f t="shared" si="6"/>
        <v>-1</v>
      </c>
      <c r="P40" s="6">
        <f t="shared" si="6"/>
        <v>-0.5</v>
      </c>
      <c r="Q40" s="6">
        <f t="shared" si="6"/>
        <v>0</v>
      </c>
      <c r="R40" s="6">
        <f t="shared" si="6"/>
        <v>0.5</v>
      </c>
      <c r="S40" s="6">
        <f t="shared" si="6"/>
        <v>1</v>
      </c>
      <c r="T40" s="6">
        <f t="shared" si="6"/>
        <v>1.5</v>
      </c>
      <c r="U40" s="6">
        <f t="shared" si="6"/>
        <v>2</v>
      </c>
      <c r="V40" s="6">
        <f t="shared" si="6"/>
        <v>2.5</v>
      </c>
    </row>
    <row r="41" spans="2:22" ht="15.75" customHeight="1" x14ac:dyDescent="0.15">
      <c r="C41" s="9">
        <f>C40+0.5</f>
        <v>-1.5</v>
      </c>
      <c r="D41" s="6">
        <f t="shared" ref="D41:V41" si="7">D$34+$C41</f>
        <v>-6</v>
      </c>
      <c r="E41" s="6">
        <f t="shared" si="7"/>
        <v>-5.5</v>
      </c>
      <c r="F41" s="6">
        <f t="shared" si="7"/>
        <v>-5</v>
      </c>
      <c r="G41" s="6">
        <f t="shared" si="7"/>
        <v>-4.5</v>
      </c>
      <c r="H41" s="6">
        <f t="shared" si="7"/>
        <v>-4</v>
      </c>
      <c r="I41" s="6">
        <f t="shared" si="7"/>
        <v>-3.5</v>
      </c>
      <c r="J41" s="6">
        <f t="shared" si="7"/>
        <v>-3</v>
      </c>
      <c r="K41" s="6">
        <f t="shared" si="7"/>
        <v>-2.5</v>
      </c>
      <c r="L41" s="6">
        <f t="shared" si="7"/>
        <v>-2</v>
      </c>
      <c r="M41" s="6">
        <f t="shared" si="7"/>
        <v>-1.5</v>
      </c>
      <c r="N41" s="6">
        <f t="shared" si="7"/>
        <v>-1</v>
      </c>
      <c r="O41" s="6">
        <f t="shared" si="7"/>
        <v>-0.5</v>
      </c>
      <c r="P41" s="6">
        <f t="shared" si="7"/>
        <v>0</v>
      </c>
      <c r="Q41" s="6">
        <f t="shared" si="7"/>
        <v>0.5</v>
      </c>
      <c r="R41" s="6">
        <f t="shared" si="7"/>
        <v>1</v>
      </c>
      <c r="S41" s="6">
        <f t="shared" si="7"/>
        <v>1.5</v>
      </c>
      <c r="T41" s="6">
        <f t="shared" si="7"/>
        <v>2</v>
      </c>
      <c r="U41" s="6">
        <f t="shared" si="7"/>
        <v>2.5</v>
      </c>
      <c r="V41" s="6">
        <f t="shared" si="7"/>
        <v>3</v>
      </c>
    </row>
    <row r="42" spans="2:22" ht="15.75" customHeight="1" x14ac:dyDescent="0.15">
      <c r="C42" s="9">
        <f>C41+0.5</f>
        <v>-1</v>
      </c>
      <c r="D42" s="6">
        <f t="shared" ref="D42:V42" si="8">D$34+$C42</f>
        <v>-5.5</v>
      </c>
      <c r="E42" s="6">
        <f t="shared" si="8"/>
        <v>-5</v>
      </c>
      <c r="F42" s="6">
        <f t="shared" si="8"/>
        <v>-4.5</v>
      </c>
      <c r="G42" s="6">
        <f t="shared" si="8"/>
        <v>-4</v>
      </c>
      <c r="H42" s="6">
        <f t="shared" si="8"/>
        <v>-3.5</v>
      </c>
      <c r="I42" s="6">
        <f t="shared" si="8"/>
        <v>-3</v>
      </c>
      <c r="J42" s="6">
        <f t="shared" si="8"/>
        <v>-2.5</v>
      </c>
      <c r="K42" s="6">
        <f t="shared" si="8"/>
        <v>-2</v>
      </c>
      <c r="L42" s="6">
        <f t="shared" si="8"/>
        <v>-1.5</v>
      </c>
      <c r="M42" s="6">
        <f t="shared" si="8"/>
        <v>-1</v>
      </c>
      <c r="N42" s="6">
        <f t="shared" si="8"/>
        <v>-0.5</v>
      </c>
      <c r="O42" s="6">
        <f t="shared" si="8"/>
        <v>0</v>
      </c>
      <c r="P42" s="6">
        <f t="shared" si="8"/>
        <v>0.5</v>
      </c>
      <c r="Q42" s="6">
        <f t="shared" si="8"/>
        <v>1</v>
      </c>
      <c r="R42" s="6">
        <f t="shared" si="8"/>
        <v>1.5</v>
      </c>
      <c r="S42" s="6">
        <f t="shared" si="8"/>
        <v>2</v>
      </c>
      <c r="T42" s="6">
        <f t="shared" si="8"/>
        <v>2.5</v>
      </c>
      <c r="U42" s="6">
        <f t="shared" si="8"/>
        <v>3</v>
      </c>
      <c r="V42" s="6">
        <f t="shared" si="8"/>
        <v>3.5</v>
      </c>
    </row>
    <row r="43" spans="2:22" ht="15.75" customHeight="1" x14ac:dyDescent="0.15">
      <c r="C43" s="9">
        <f>C42+0.5</f>
        <v>-0.5</v>
      </c>
      <c r="D43" s="6">
        <f t="shared" ref="D43:V43" si="9">D$34+$C43</f>
        <v>-5</v>
      </c>
      <c r="E43" s="6">
        <f t="shared" si="9"/>
        <v>-4.5</v>
      </c>
      <c r="F43" s="6">
        <f t="shared" si="9"/>
        <v>-4</v>
      </c>
      <c r="G43" s="6">
        <f t="shared" si="9"/>
        <v>-3.5</v>
      </c>
      <c r="H43" s="6">
        <f t="shared" si="9"/>
        <v>-3</v>
      </c>
      <c r="I43" s="6">
        <f t="shared" si="9"/>
        <v>-2.5</v>
      </c>
      <c r="J43" s="6">
        <f t="shared" si="9"/>
        <v>-2</v>
      </c>
      <c r="K43" s="6">
        <f t="shared" si="9"/>
        <v>-1.5</v>
      </c>
      <c r="L43" s="6">
        <f t="shared" si="9"/>
        <v>-1</v>
      </c>
      <c r="M43" s="6">
        <f t="shared" si="9"/>
        <v>-0.5</v>
      </c>
      <c r="N43" s="6">
        <f t="shared" si="9"/>
        <v>0</v>
      </c>
      <c r="O43" s="6">
        <f t="shared" si="9"/>
        <v>0.5</v>
      </c>
      <c r="P43" s="6">
        <f t="shared" si="9"/>
        <v>1</v>
      </c>
      <c r="Q43" s="6">
        <f t="shared" si="9"/>
        <v>1.5</v>
      </c>
      <c r="R43" s="6">
        <f t="shared" si="9"/>
        <v>2</v>
      </c>
      <c r="S43" s="6">
        <f t="shared" si="9"/>
        <v>2.5</v>
      </c>
      <c r="T43" s="6">
        <f t="shared" si="9"/>
        <v>3</v>
      </c>
      <c r="U43" s="6">
        <f t="shared" si="9"/>
        <v>3.5</v>
      </c>
      <c r="V43" s="6">
        <f t="shared" si="9"/>
        <v>4</v>
      </c>
    </row>
    <row r="44" spans="2:22" ht="15.75" customHeight="1" x14ac:dyDescent="0.15">
      <c r="C44" s="9">
        <f>C43+0.5</f>
        <v>0</v>
      </c>
      <c r="D44" s="6">
        <f t="shared" ref="D44:V44" si="10">D$34+$C44</f>
        <v>-4.5</v>
      </c>
      <c r="E44" s="6">
        <f t="shared" si="10"/>
        <v>-4</v>
      </c>
      <c r="F44" s="6">
        <f t="shared" si="10"/>
        <v>-3.5</v>
      </c>
      <c r="G44" s="6">
        <f t="shared" si="10"/>
        <v>-3</v>
      </c>
      <c r="H44" s="6">
        <f t="shared" si="10"/>
        <v>-2.5</v>
      </c>
      <c r="I44" s="6">
        <f t="shared" si="10"/>
        <v>-2</v>
      </c>
      <c r="J44" s="6">
        <f t="shared" si="10"/>
        <v>-1.5</v>
      </c>
      <c r="K44" s="6">
        <f t="shared" si="10"/>
        <v>-1</v>
      </c>
      <c r="L44" s="6">
        <f t="shared" si="10"/>
        <v>-0.5</v>
      </c>
      <c r="M44" s="6">
        <f t="shared" si="10"/>
        <v>0</v>
      </c>
      <c r="N44" s="6">
        <f t="shared" si="10"/>
        <v>0.5</v>
      </c>
      <c r="O44" s="6">
        <f t="shared" si="10"/>
        <v>1</v>
      </c>
      <c r="P44" s="6">
        <f t="shared" si="10"/>
        <v>1.5</v>
      </c>
      <c r="Q44" s="6">
        <f t="shared" si="10"/>
        <v>2</v>
      </c>
      <c r="R44" s="6">
        <f t="shared" si="10"/>
        <v>2.5</v>
      </c>
      <c r="S44" s="6">
        <f t="shared" si="10"/>
        <v>3</v>
      </c>
      <c r="T44" s="6">
        <f t="shared" si="10"/>
        <v>3.5</v>
      </c>
      <c r="U44" s="6">
        <f t="shared" si="10"/>
        <v>4</v>
      </c>
      <c r="V44" s="6">
        <f t="shared" si="10"/>
        <v>4.5</v>
      </c>
    </row>
    <row r="45" spans="2:22" ht="15.75" customHeight="1" x14ac:dyDescent="0.15">
      <c r="C45" s="9">
        <f>C44+0.5</f>
        <v>0.5</v>
      </c>
      <c r="D45" s="6">
        <f t="shared" ref="D45:V45" si="11">D$34+$C45</f>
        <v>-4</v>
      </c>
      <c r="E45" s="6">
        <f t="shared" si="11"/>
        <v>-3.5</v>
      </c>
      <c r="F45" s="6">
        <f t="shared" si="11"/>
        <v>-3</v>
      </c>
      <c r="G45" s="6">
        <f t="shared" si="11"/>
        <v>-2.5</v>
      </c>
      <c r="H45" s="6">
        <f t="shared" si="11"/>
        <v>-2</v>
      </c>
      <c r="I45" s="6">
        <f t="shared" si="11"/>
        <v>-1.5</v>
      </c>
      <c r="J45" s="6">
        <f t="shared" si="11"/>
        <v>-1</v>
      </c>
      <c r="K45" s="6">
        <f t="shared" si="11"/>
        <v>-0.5</v>
      </c>
      <c r="L45" s="6">
        <f t="shared" si="11"/>
        <v>0</v>
      </c>
      <c r="M45" s="6">
        <f t="shared" si="11"/>
        <v>0.5</v>
      </c>
      <c r="N45" s="6">
        <f t="shared" si="11"/>
        <v>1</v>
      </c>
      <c r="O45" s="6">
        <f t="shared" si="11"/>
        <v>1.5</v>
      </c>
      <c r="P45" s="6">
        <f t="shared" si="11"/>
        <v>2</v>
      </c>
      <c r="Q45" s="6">
        <f t="shared" si="11"/>
        <v>2.5</v>
      </c>
      <c r="R45" s="6">
        <f t="shared" si="11"/>
        <v>3</v>
      </c>
      <c r="S45" s="6">
        <f t="shared" si="11"/>
        <v>3.5</v>
      </c>
      <c r="T45" s="6">
        <f t="shared" si="11"/>
        <v>4</v>
      </c>
      <c r="U45" s="6">
        <f t="shared" si="11"/>
        <v>4.5</v>
      </c>
      <c r="V45" s="6">
        <f t="shared" si="11"/>
        <v>5</v>
      </c>
    </row>
    <row r="46" spans="2:22" ht="15.75" customHeight="1" x14ac:dyDescent="0.15">
      <c r="C46" s="9">
        <f>C45+0.5</f>
        <v>1</v>
      </c>
      <c r="D46" s="6">
        <f t="shared" ref="D46:V46" si="12">D$34+$C46</f>
        <v>-3.5</v>
      </c>
      <c r="E46" s="6">
        <f t="shared" si="12"/>
        <v>-3</v>
      </c>
      <c r="F46" s="6">
        <f t="shared" si="12"/>
        <v>-2.5</v>
      </c>
      <c r="G46" s="6">
        <f t="shared" si="12"/>
        <v>-2</v>
      </c>
      <c r="H46" s="6">
        <f t="shared" si="12"/>
        <v>-1.5</v>
      </c>
      <c r="I46" s="6">
        <f t="shared" si="12"/>
        <v>-1</v>
      </c>
      <c r="J46" s="6">
        <f t="shared" si="12"/>
        <v>-0.5</v>
      </c>
      <c r="K46" s="6">
        <f t="shared" si="12"/>
        <v>0</v>
      </c>
      <c r="L46" s="6">
        <f t="shared" si="12"/>
        <v>0.5</v>
      </c>
      <c r="M46" s="6">
        <f t="shared" si="12"/>
        <v>1</v>
      </c>
      <c r="N46" s="6">
        <f t="shared" si="12"/>
        <v>1.5</v>
      </c>
      <c r="O46" s="6">
        <f t="shared" si="12"/>
        <v>2</v>
      </c>
      <c r="P46" s="6">
        <f t="shared" si="12"/>
        <v>2.5</v>
      </c>
      <c r="Q46" s="6">
        <f t="shared" si="12"/>
        <v>3</v>
      </c>
      <c r="R46" s="6">
        <f t="shared" si="12"/>
        <v>3.5</v>
      </c>
      <c r="S46" s="6">
        <f t="shared" si="12"/>
        <v>4</v>
      </c>
      <c r="T46" s="6">
        <f t="shared" si="12"/>
        <v>4.5</v>
      </c>
      <c r="U46" s="6">
        <f t="shared" si="12"/>
        <v>5</v>
      </c>
      <c r="V46" s="6">
        <f t="shared" si="12"/>
        <v>5.5</v>
      </c>
    </row>
    <row r="47" spans="2:22" ht="15.75" customHeight="1" x14ac:dyDescent="0.15">
      <c r="C47" s="9">
        <f>C46+0.5</f>
        <v>1.5</v>
      </c>
      <c r="D47" s="6">
        <f t="shared" ref="D47:V47" si="13">D$34+$C47</f>
        <v>-3</v>
      </c>
      <c r="E47" s="6">
        <f t="shared" si="13"/>
        <v>-2.5</v>
      </c>
      <c r="F47" s="6">
        <f t="shared" si="13"/>
        <v>-2</v>
      </c>
      <c r="G47" s="6">
        <f t="shared" si="13"/>
        <v>-1.5</v>
      </c>
      <c r="H47" s="6">
        <f t="shared" si="13"/>
        <v>-1</v>
      </c>
      <c r="I47" s="6">
        <f t="shared" si="13"/>
        <v>-0.5</v>
      </c>
      <c r="J47" s="6">
        <f t="shared" si="13"/>
        <v>0</v>
      </c>
      <c r="K47" s="6">
        <f t="shared" si="13"/>
        <v>0.5</v>
      </c>
      <c r="L47" s="6">
        <f t="shared" si="13"/>
        <v>1</v>
      </c>
      <c r="M47" s="6">
        <f t="shared" si="13"/>
        <v>1.5</v>
      </c>
      <c r="N47" s="6">
        <f t="shared" si="13"/>
        <v>2</v>
      </c>
      <c r="O47" s="6">
        <f t="shared" si="13"/>
        <v>2.5</v>
      </c>
      <c r="P47" s="6">
        <f t="shared" si="13"/>
        <v>3</v>
      </c>
      <c r="Q47" s="6">
        <f t="shared" si="13"/>
        <v>3.5</v>
      </c>
      <c r="R47" s="6">
        <f t="shared" si="13"/>
        <v>4</v>
      </c>
      <c r="S47" s="6">
        <f t="shared" si="13"/>
        <v>4.5</v>
      </c>
      <c r="T47" s="6">
        <f t="shared" si="13"/>
        <v>5</v>
      </c>
      <c r="U47" s="6">
        <f t="shared" si="13"/>
        <v>5.5</v>
      </c>
      <c r="V47" s="6">
        <f t="shared" si="13"/>
        <v>6</v>
      </c>
    </row>
    <row r="48" spans="2:22" ht="15.75" customHeight="1" x14ac:dyDescent="0.15">
      <c r="C48" s="9">
        <f>C47+0.5</f>
        <v>2</v>
      </c>
      <c r="D48" s="6">
        <f t="shared" ref="D48:V48" si="14">D$34+$C48</f>
        <v>-2.5</v>
      </c>
      <c r="E48" s="6">
        <f t="shared" si="14"/>
        <v>-2</v>
      </c>
      <c r="F48" s="6">
        <f t="shared" si="14"/>
        <v>-1.5</v>
      </c>
      <c r="G48" s="6">
        <f t="shared" si="14"/>
        <v>-1</v>
      </c>
      <c r="H48" s="6">
        <f t="shared" si="14"/>
        <v>-0.5</v>
      </c>
      <c r="I48" s="6">
        <f t="shared" si="14"/>
        <v>0</v>
      </c>
      <c r="J48" s="6">
        <f t="shared" si="14"/>
        <v>0.5</v>
      </c>
      <c r="K48" s="6">
        <f t="shared" si="14"/>
        <v>1</v>
      </c>
      <c r="L48" s="6">
        <f t="shared" si="14"/>
        <v>1.5</v>
      </c>
      <c r="M48" s="6">
        <f t="shared" si="14"/>
        <v>2</v>
      </c>
      <c r="N48" s="6">
        <f t="shared" si="14"/>
        <v>2.5</v>
      </c>
      <c r="O48" s="6">
        <f t="shared" si="14"/>
        <v>3</v>
      </c>
      <c r="P48" s="6">
        <f t="shared" si="14"/>
        <v>3.5</v>
      </c>
      <c r="Q48" s="6">
        <f t="shared" si="14"/>
        <v>4</v>
      </c>
      <c r="R48" s="6">
        <f t="shared" si="14"/>
        <v>4.5</v>
      </c>
      <c r="S48" s="6">
        <f t="shared" si="14"/>
        <v>5</v>
      </c>
      <c r="T48" s="6">
        <f t="shared" si="14"/>
        <v>5.5</v>
      </c>
      <c r="U48" s="6">
        <f t="shared" si="14"/>
        <v>6</v>
      </c>
      <c r="V48" s="6">
        <f t="shared" si="14"/>
        <v>6.5</v>
      </c>
    </row>
    <row r="49" spans="2:22" ht="15.75" customHeight="1" x14ac:dyDescent="0.15">
      <c r="C49" s="9">
        <f>C48+0.5</f>
        <v>2.5</v>
      </c>
      <c r="D49" s="6">
        <f t="shared" ref="D49:V49" si="15">D$34+$C49</f>
        <v>-2</v>
      </c>
      <c r="E49" s="6">
        <f t="shared" si="15"/>
        <v>-1.5</v>
      </c>
      <c r="F49" s="6">
        <f t="shared" si="15"/>
        <v>-1</v>
      </c>
      <c r="G49" s="6">
        <f t="shared" si="15"/>
        <v>-0.5</v>
      </c>
      <c r="H49" s="6">
        <f t="shared" si="15"/>
        <v>0</v>
      </c>
      <c r="I49" s="6">
        <f t="shared" si="15"/>
        <v>0.5</v>
      </c>
      <c r="J49" s="6">
        <f t="shared" si="15"/>
        <v>1</v>
      </c>
      <c r="K49" s="6">
        <f t="shared" si="15"/>
        <v>1.5</v>
      </c>
      <c r="L49" s="6">
        <f t="shared" si="15"/>
        <v>2</v>
      </c>
      <c r="M49" s="6">
        <f t="shared" si="15"/>
        <v>2.5</v>
      </c>
      <c r="N49" s="6">
        <f t="shared" si="15"/>
        <v>3</v>
      </c>
      <c r="O49" s="6">
        <f t="shared" si="15"/>
        <v>3.5</v>
      </c>
      <c r="P49" s="6">
        <f t="shared" si="15"/>
        <v>4</v>
      </c>
      <c r="Q49" s="6">
        <f t="shared" si="15"/>
        <v>4.5</v>
      </c>
      <c r="R49" s="6">
        <f t="shared" si="15"/>
        <v>5</v>
      </c>
      <c r="S49" s="6">
        <f t="shared" si="15"/>
        <v>5.5</v>
      </c>
      <c r="T49" s="6">
        <f t="shared" si="15"/>
        <v>6</v>
      </c>
      <c r="U49" s="6">
        <f t="shared" si="15"/>
        <v>6.5</v>
      </c>
      <c r="V49" s="6">
        <f t="shared" si="15"/>
        <v>7</v>
      </c>
    </row>
    <row r="50" spans="2:22" ht="15.75" customHeight="1" x14ac:dyDescent="0.15">
      <c r="C50" s="9">
        <f>C49+0.5</f>
        <v>3</v>
      </c>
      <c r="D50" s="6">
        <f t="shared" ref="D50:V50" si="16">D$34+$C50</f>
        <v>-1.5</v>
      </c>
      <c r="E50" s="6">
        <f t="shared" si="16"/>
        <v>-1</v>
      </c>
      <c r="F50" s="6">
        <f t="shared" si="16"/>
        <v>-0.5</v>
      </c>
      <c r="G50" s="6">
        <f t="shared" si="16"/>
        <v>0</v>
      </c>
      <c r="H50" s="6">
        <f t="shared" si="16"/>
        <v>0.5</v>
      </c>
      <c r="I50" s="6">
        <f t="shared" si="16"/>
        <v>1</v>
      </c>
      <c r="J50" s="6">
        <f t="shared" si="16"/>
        <v>1.5</v>
      </c>
      <c r="K50" s="6">
        <f t="shared" si="16"/>
        <v>2</v>
      </c>
      <c r="L50" s="6">
        <f t="shared" si="16"/>
        <v>2.5</v>
      </c>
      <c r="M50" s="6">
        <f t="shared" si="16"/>
        <v>3</v>
      </c>
      <c r="N50" s="6">
        <f t="shared" si="16"/>
        <v>3.5</v>
      </c>
      <c r="O50" s="6">
        <f t="shared" si="16"/>
        <v>4</v>
      </c>
      <c r="P50" s="6">
        <f t="shared" si="16"/>
        <v>4.5</v>
      </c>
      <c r="Q50" s="6">
        <f t="shared" si="16"/>
        <v>5</v>
      </c>
      <c r="R50" s="6">
        <f t="shared" si="16"/>
        <v>5.5</v>
      </c>
      <c r="S50" s="6">
        <f t="shared" si="16"/>
        <v>6</v>
      </c>
      <c r="T50" s="6">
        <f t="shared" si="16"/>
        <v>6.5</v>
      </c>
      <c r="U50" s="6">
        <f t="shared" si="16"/>
        <v>7</v>
      </c>
      <c r="V50" s="6">
        <f t="shared" si="16"/>
        <v>7.5</v>
      </c>
    </row>
    <row r="51" spans="2:22" ht="15.75" customHeight="1" x14ac:dyDescent="0.15">
      <c r="C51" s="9">
        <f>C50+0.5</f>
        <v>3.5</v>
      </c>
      <c r="D51" s="6">
        <f t="shared" ref="D51:V51" si="17">D$34+$C51</f>
        <v>-1</v>
      </c>
      <c r="E51" s="6">
        <f t="shared" si="17"/>
        <v>-0.5</v>
      </c>
      <c r="F51" s="6">
        <f t="shared" si="17"/>
        <v>0</v>
      </c>
      <c r="G51" s="6">
        <f t="shared" si="17"/>
        <v>0.5</v>
      </c>
      <c r="H51" s="6">
        <f t="shared" si="17"/>
        <v>1</v>
      </c>
      <c r="I51" s="6">
        <f t="shared" si="17"/>
        <v>1.5</v>
      </c>
      <c r="J51" s="6">
        <f t="shared" si="17"/>
        <v>2</v>
      </c>
      <c r="K51" s="6">
        <f t="shared" si="17"/>
        <v>2.5</v>
      </c>
      <c r="L51" s="6">
        <f t="shared" si="17"/>
        <v>3</v>
      </c>
      <c r="M51" s="6">
        <f t="shared" si="17"/>
        <v>3.5</v>
      </c>
      <c r="N51" s="6">
        <f t="shared" si="17"/>
        <v>4</v>
      </c>
      <c r="O51" s="6">
        <f t="shared" si="17"/>
        <v>4.5</v>
      </c>
      <c r="P51" s="6">
        <f t="shared" si="17"/>
        <v>5</v>
      </c>
      <c r="Q51" s="6">
        <f t="shared" si="17"/>
        <v>5.5</v>
      </c>
      <c r="R51" s="6">
        <f t="shared" si="17"/>
        <v>6</v>
      </c>
      <c r="S51" s="6">
        <f t="shared" si="17"/>
        <v>6.5</v>
      </c>
      <c r="T51" s="6">
        <f t="shared" si="17"/>
        <v>7</v>
      </c>
      <c r="U51" s="6">
        <f t="shared" si="17"/>
        <v>7.5</v>
      </c>
      <c r="V51" s="6">
        <f t="shared" si="17"/>
        <v>8</v>
      </c>
    </row>
    <row r="52" spans="2:22" ht="15.75" customHeight="1" x14ac:dyDescent="0.15">
      <c r="C52" s="9">
        <f>C51+0.5</f>
        <v>4</v>
      </c>
      <c r="D52" s="6">
        <f t="shared" ref="D52:V52" si="18">D$34+$C52</f>
        <v>-0.5</v>
      </c>
      <c r="E52" s="6">
        <f t="shared" si="18"/>
        <v>0</v>
      </c>
      <c r="F52" s="6">
        <f t="shared" si="18"/>
        <v>0.5</v>
      </c>
      <c r="G52" s="6">
        <f t="shared" si="18"/>
        <v>1</v>
      </c>
      <c r="H52" s="6">
        <f t="shared" si="18"/>
        <v>1.5</v>
      </c>
      <c r="I52" s="6">
        <f t="shared" si="18"/>
        <v>2</v>
      </c>
      <c r="J52" s="6">
        <f t="shared" si="18"/>
        <v>2.5</v>
      </c>
      <c r="K52" s="6">
        <f t="shared" si="18"/>
        <v>3</v>
      </c>
      <c r="L52" s="6">
        <f t="shared" si="18"/>
        <v>3.5</v>
      </c>
      <c r="M52" s="6">
        <f t="shared" si="18"/>
        <v>4</v>
      </c>
      <c r="N52" s="6">
        <f t="shared" si="18"/>
        <v>4.5</v>
      </c>
      <c r="O52" s="6">
        <f t="shared" si="18"/>
        <v>5</v>
      </c>
      <c r="P52" s="6">
        <f t="shared" si="18"/>
        <v>5.5</v>
      </c>
      <c r="Q52" s="6">
        <f t="shared" si="18"/>
        <v>6</v>
      </c>
      <c r="R52" s="6">
        <f t="shared" si="18"/>
        <v>6.5</v>
      </c>
      <c r="S52" s="6">
        <f t="shared" si="18"/>
        <v>7</v>
      </c>
      <c r="T52" s="6">
        <f t="shared" si="18"/>
        <v>7.5</v>
      </c>
      <c r="U52" s="6">
        <f t="shared" si="18"/>
        <v>8</v>
      </c>
      <c r="V52" s="6">
        <f t="shared" si="18"/>
        <v>8.5</v>
      </c>
    </row>
    <row r="53" spans="2:22" ht="15.75" customHeight="1" x14ac:dyDescent="0.15">
      <c r="C53" s="9">
        <f>C52+0.5</f>
        <v>4.5</v>
      </c>
      <c r="D53" s="6">
        <f t="shared" ref="D53:V53" si="19">D$34+$C53</f>
        <v>0</v>
      </c>
      <c r="E53" s="6">
        <f t="shared" si="19"/>
        <v>0.5</v>
      </c>
      <c r="F53" s="6">
        <f t="shared" si="19"/>
        <v>1</v>
      </c>
      <c r="G53" s="6">
        <f t="shared" si="19"/>
        <v>1.5</v>
      </c>
      <c r="H53" s="6">
        <f t="shared" si="19"/>
        <v>2</v>
      </c>
      <c r="I53" s="6">
        <f t="shared" si="19"/>
        <v>2.5</v>
      </c>
      <c r="J53" s="6">
        <f t="shared" si="19"/>
        <v>3</v>
      </c>
      <c r="K53" s="6">
        <f t="shared" si="19"/>
        <v>3.5</v>
      </c>
      <c r="L53" s="6">
        <f t="shared" si="19"/>
        <v>4</v>
      </c>
      <c r="M53" s="6">
        <f t="shared" si="19"/>
        <v>4.5</v>
      </c>
      <c r="N53" s="6">
        <f t="shared" si="19"/>
        <v>5</v>
      </c>
      <c r="O53" s="6">
        <f t="shared" si="19"/>
        <v>5.5</v>
      </c>
      <c r="P53" s="6">
        <f t="shared" si="19"/>
        <v>6</v>
      </c>
      <c r="Q53" s="6">
        <f t="shared" si="19"/>
        <v>6.5</v>
      </c>
      <c r="R53" s="6">
        <f t="shared" si="19"/>
        <v>7</v>
      </c>
      <c r="S53" s="6">
        <f t="shared" si="19"/>
        <v>7.5</v>
      </c>
      <c r="T53" s="6">
        <f t="shared" si="19"/>
        <v>8</v>
      </c>
      <c r="U53" s="6">
        <f t="shared" si="19"/>
        <v>8.5</v>
      </c>
      <c r="V53" s="6">
        <f t="shared" si="19"/>
        <v>9</v>
      </c>
    </row>
    <row r="55" spans="2:22" ht="15.75" customHeight="1" x14ac:dyDescent="0.15">
      <c r="C55" s="11">
        <v>-5</v>
      </c>
      <c r="D55" s="12">
        <f>C55+0.5</f>
        <v>-4.5</v>
      </c>
      <c r="E55" s="12">
        <f>D55+0.5</f>
        <v>-4</v>
      </c>
      <c r="F55" s="12">
        <f>E55+0.5</f>
        <v>-3.5</v>
      </c>
      <c r="G55" s="12">
        <f>F55+0.5</f>
        <v>-3</v>
      </c>
      <c r="H55" s="12">
        <f>G55+0.5</f>
        <v>-2.5</v>
      </c>
      <c r="I55" s="12">
        <f>H55+0.5</f>
        <v>-2</v>
      </c>
      <c r="J55" s="12">
        <f>I55+0.5</f>
        <v>-1.5</v>
      </c>
      <c r="K55" s="12">
        <f>J55+0.5</f>
        <v>-1</v>
      </c>
      <c r="L55" s="12">
        <f>K55+0.5</f>
        <v>-0.5</v>
      </c>
      <c r="M55" s="12">
        <f>L55+0.5</f>
        <v>0</v>
      </c>
      <c r="N55" s="12">
        <f>M55+0.5</f>
        <v>0.5</v>
      </c>
      <c r="O55" s="12">
        <f>N55+0.5</f>
        <v>1</v>
      </c>
      <c r="P55" s="12">
        <f>O55+0.5</f>
        <v>1.5</v>
      </c>
      <c r="Q55" s="12">
        <f>P55+0.5</f>
        <v>2</v>
      </c>
      <c r="R55" s="12">
        <f>Q55+0.5</f>
        <v>2.5</v>
      </c>
      <c r="S55" s="12">
        <f>R55+0.5</f>
        <v>3</v>
      </c>
      <c r="T55" s="12">
        <f>S55+0.5</f>
        <v>3.5</v>
      </c>
      <c r="U55" s="12">
        <f>T55+0.5</f>
        <v>4</v>
      </c>
      <c r="V55" s="12">
        <f>U55+0.5</f>
        <v>4.5</v>
      </c>
    </row>
    <row r="56" spans="2:22" ht="15.75" customHeight="1" x14ac:dyDescent="0.15">
      <c r="B56" s="7" t="s">
        <v>2</v>
      </c>
      <c r="C56" s="13">
        <v>-4.5</v>
      </c>
      <c r="D56" s="6">
        <f t="shared" ref="D56:V56" si="20">MAX(0,D35)</f>
        <v>0</v>
      </c>
      <c r="E56" s="6">
        <f t="shared" si="20"/>
        <v>0</v>
      </c>
      <c r="F56" s="6">
        <f t="shared" si="20"/>
        <v>0</v>
      </c>
      <c r="G56" s="6">
        <f t="shared" si="20"/>
        <v>0</v>
      </c>
      <c r="H56" s="6">
        <f t="shared" si="20"/>
        <v>0</v>
      </c>
      <c r="I56" s="6">
        <f t="shared" si="20"/>
        <v>0</v>
      </c>
      <c r="J56" s="6">
        <f t="shared" si="20"/>
        <v>0</v>
      </c>
      <c r="K56" s="6">
        <f t="shared" si="20"/>
        <v>0</v>
      </c>
      <c r="L56" s="6">
        <f t="shared" si="20"/>
        <v>0</v>
      </c>
      <c r="M56" s="6">
        <f t="shared" si="20"/>
        <v>0</v>
      </c>
      <c r="N56" s="6">
        <f t="shared" si="20"/>
        <v>0</v>
      </c>
      <c r="O56" s="6">
        <f t="shared" si="20"/>
        <v>0</v>
      </c>
      <c r="P56" s="6">
        <f t="shared" si="20"/>
        <v>0</v>
      </c>
      <c r="Q56" s="6">
        <f t="shared" si="20"/>
        <v>0</v>
      </c>
      <c r="R56" s="6">
        <f t="shared" si="20"/>
        <v>0</v>
      </c>
      <c r="S56" s="6">
        <f t="shared" si="20"/>
        <v>0</v>
      </c>
      <c r="T56" s="6">
        <f t="shared" si="20"/>
        <v>0</v>
      </c>
      <c r="U56" s="6">
        <f t="shared" si="20"/>
        <v>0</v>
      </c>
      <c r="V56" s="6">
        <f t="shared" si="20"/>
        <v>0</v>
      </c>
    </row>
    <row r="57" spans="2:22" ht="15.75" customHeight="1" x14ac:dyDescent="0.15">
      <c r="C57" s="14">
        <f>C56+0.5</f>
        <v>-4</v>
      </c>
      <c r="D57" s="6">
        <f t="shared" ref="D57:V57" si="21">MAX(0,D36)</f>
        <v>0</v>
      </c>
      <c r="E57" s="6">
        <f t="shared" si="21"/>
        <v>0</v>
      </c>
      <c r="F57" s="6">
        <f t="shared" si="21"/>
        <v>0</v>
      </c>
      <c r="G57" s="6">
        <f t="shared" si="21"/>
        <v>0</v>
      </c>
      <c r="H57" s="6">
        <f t="shared" si="21"/>
        <v>0</v>
      </c>
      <c r="I57" s="6">
        <f t="shared" si="21"/>
        <v>0</v>
      </c>
      <c r="J57" s="6">
        <f t="shared" si="21"/>
        <v>0</v>
      </c>
      <c r="K57" s="6">
        <f t="shared" si="21"/>
        <v>0</v>
      </c>
      <c r="L57" s="6">
        <f t="shared" si="21"/>
        <v>0</v>
      </c>
      <c r="M57" s="6">
        <f t="shared" si="21"/>
        <v>0</v>
      </c>
      <c r="N57" s="6">
        <f t="shared" si="21"/>
        <v>0</v>
      </c>
      <c r="O57" s="6">
        <f t="shared" si="21"/>
        <v>0</v>
      </c>
      <c r="P57" s="6">
        <f t="shared" si="21"/>
        <v>0</v>
      </c>
      <c r="Q57" s="6">
        <f t="shared" si="21"/>
        <v>0</v>
      </c>
      <c r="R57" s="6">
        <f t="shared" si="21"/>
        <v>0</v>
      </c>
      <c r="S57" s="6">
        <f t="shared" si="21"/>
        <v>0</v>
      </c>
      <c r="T57" s="6">
        <f t="shared" si="21"/>
        <v>0</v>
      </c>
      <c r="U57" s="6">
        <f t="shared" si="21"/>
        <v>0</v>
      </c>
      <c r="V57" s="6">
        <f t="shared" si="21"/>
        <v>0.5</v>
      </c>
    </row>
    <row r="58" spans="2:22" ht="15.75" customHeight="1" x14ac:dyDescent="0.15">
      <c r="C58" s="14">
        <f>C57+0.5</f>
        <v>-3.5</v>
      </c>
      <c r="D58" s="6">
        <f t="shared" ref="D58:V58" si="22">MAX(0,D37)</f>
        <v>0</v>
      </c>
      <c r="E58" s="6">
        <f t="shared" si="22"/>
        <v>0</v>
      </c>
      <c r="F58" s="6">
        <f t="shared" si="22"/>
        <v>0</v>
      </c>
      <c r="G58" s="6">
        <f t="shared" si="22"/>
        <v>0</v>
      </c>
      <c r="H58" s="6">
        <f t="shared" si="22"/>
        <v>0</v>
      </c>
      <c r="I58" s="6">
        <f t="shared" si="22"/>
        <v>0</v>
      </c>
      <c r="J58" s="6">
        <f t="shared" si="22"/>
        <v>0</v>
      </c>
      <c r="K58" s="6">
        <f t="shared" si="22"/>
        <v>0</v>
      </c>
      <c r="L58" s="6">
        <f t="shared" si="22"/>
        <v>0</v>
      </c>
      <c r="M58" s="6">
        <f t="shared" si="22"/>
        <v>0</v>
      </c>
      <c r="N58" s="6">
        <f t="shared" si="22"/>
        <v>0</v>
      </c>
      <c r="O58" s="6">
        <f t="shared" si="22"/>
        <v>0</v>
      </c>
      <c r="P58" s="6">
        <f t="shared" si="22"/>
        <v>0</v>
      </c>
      <c r="Q58" s="6">
        <f t="shared" si="22"/>
        <v>0</v>
      </c>
      <c r="R58" s="6">
        <f t="shared" si="22"/>
        <v>0</v>
      </c>
      <c r="S58" s="6">
        <f t="shared" si="22"/>
        <v>0</v>
      </c>
      <c r="T58" s="6">
        <f t="shared" si="22"/>
        <v>0</v>
      </c>
      <c r="U58" s="6">
        <f t="shared" si="22"/>
        <v>0.5</v>
      </c>
      <c r="V58" s="6">
        <f t="shared" si="22"/>
        <v>1</v>
      </c>
    </row>
    <row r="59" spans="2:22" ht="15.75" customHeight="1" x14ac:dyDescent="0.15">
      <c r="C59" s="14">
        <f>C58+0.5</f>
        <v>-3</v>
      </c>
      <c r="D59" s="6">
        <f t="shared" ref="D59:V59" si="23">MAX(0,D38)</f>
        <v>0</v>
      </c>
      <c r="E59" s="6">
        <f t="shared" si="23"/>
        <v>0</v>
      </c>
      <c r="F59" s="6">
        <f t="shared" si="23"/>
        <v>0</v>
      </c>
      <c r="G59" s="6">
        <f t="shared" si="23"/>
        <v>0</v>
      </c>
      <c r="H59" s="6">
        <f t="shared" si="23"/>
        <v>0</v>
      </c>
      <c r="I59" s="6">
        <f t="shared" si="23"/>
        <v>0</v>
      </c>
      <c r="J59" s="6">
        <f t="shared" si="23"/>
        <v>0</v>
      </c>
      <c r="K59" s="6">
        <f t="shared" si="23"/>
        <v>0</v>
      </c>
      <c r="L59" s="6">
        <f t="shared" si="23"/>
        <v>0</v>
      </c>
      <c r="M59" s="6">
        <f t="shared" si="23"/>
        <v>0</v>
      </c>
      <c r="N59" s="6">
        <f t="shared" si="23"/>
        <v>0</v>
      </c>
      <c r="O59" s="6">
        <f t="shared" si="23"/>
        <v>0</v>
      </c>
      <c r="P59" s="6">
        <f t="shared" si="23"/>
        <v>0</v>
      </c>
      <c r="Q59" s="6">
        <f t="shared" si="23"/>
        <v>0</v>
      </c>
      <c r="R59" s="6">
        <f t="shared" si="23"/>
        <v>0</v>
      </c>
      <c r="S59" s="6">
        <f t="shared" si="23"/>
        <v>0</v>
      </c>
      <c r="T59" s="6">
        <f t="shared" si="23"/>
        <v>0.5</v>
      </c>
      <c r="U59" s="6">
        <f t="shared" si="23"/>
        <v>1</v>
      </c>
      <c r="V59" s="6">
        <f t="shared" si="23"/>
        <v>1.5</v>
      </c>
    </row>
    <row r="60" spans="2:22" ht="15.75" customHeight="1" x14ac:dyDescent="0.15">
      <c r="C60" s="14">
        <f>C59+0.5</f>
        <v>-2.5</v>
      </c>
      <c r="D60" s="6">
        <f t="shared" ref="D60:V60" si="24">MAX(0,D39)</f>
        <v>0</v>
      </c>
      <c r="E60" s="6">
        <f t="shared" si="24"/>
        <v>0</v>
      </c>
      <c r="F60" s="6">
        <f t="shared" si="24"/>
        <v>0</v>
      </c>
      <c r="G60" s="6">
        <f t="shared" si="24"/>
        <v>0</v>
      </c>
      <c r="H60" s="6">
        <f t="shared" si="24"/>
        <v>0</v>
      </c>
      <c r="I60" s="6">
        <f t="shared" si="24"/>
        <v>0</v>
      </c>
      <c r="J60" s="6">
        <f t="shared" si="24"/>
        <v>0</v>
      </c>
      <c r="K60" s="6">
        <f t="shared" si="24"/>
        <v>0</v>
      </c>
      <c r="L60" s="6">
        <f t="shared" si="24"/>
        <v>0</v>
      </c>
      <c r="M60" s="6">
        <f t="shared" si="24"/>
        <v>0</v>
      </c>
      <c r="N60" s="6">
        <f t="shared" si="24"/>
        <v>0</v>
      </c>
      <c r="O60" s="6">
        <f t="shared" si="24"/>
        <v>0</v>
      </c>
      <c r="P60" s="6">
        <f t="shared" si="24"/>
        <v>0</v>
      </c>
      <c r="Q60" s="6">
        <f t="shared" si="24"/>
        <v>0</v>
      </c>
      <c r="R60" s="6">
        <f t="shared" si="24"/>
        <v>0</v>
      </c>
      <c r="S60" s="6">
        <f t="shared" si="24"/>
        <v>0.5</v>
      </c>
      <c r="T60" s="6">
        <f t="shared" si="24"/>
        <v>1</v>
      </c>
      <c r="U60" s="6">
        <f t="shared" si="24"/>
        <v>1.5</v>
      </c>
      <c r="V60" s="6">
        <f t="shared" si="24"/>
        <v>2</v>
      </c>
    </row>
    <row r="61" spans="2:22" ht="15.75" customHeight="1" x14ac:dyDescent="0.15">
      <c r="C61" s="14">
        <f>C60+0.5</f>
        <v>-2</v>
      </c>
      <c r="D61" s="6">
        <f t="shared" ref="D61:V61" si="25">MAX(0,D40)</f>
        <v>0</v>
      </c>
      <c r="E61" s="6">
        <f t="shared" si="25"/>
        <v>0</v>
      </c>
      <c r="F61" s="6">
        <f t="shared" si="25"/>
        <v>0</v>
      </c>
      <c r="G61" s="6">
        <f t="shared" si="25"/>
        <v>0</v>
      </c>
      <c r="H61" s="6">
        <f t="shared" si="25"/>
        <v>0</v>
      </c>
      <c r="I61" s="6">
        <f t="shared" si="25"/>
        <v>0</v>
      </c>
      <c r="J61" s="6">
        <f t="shared" si="25"/>
        <v>0</v>
      </c>
      <c r="K61" s="6">
        <f t="shared" si="25"/>
        <v>0</v>
      </c>
      <c r="L61" s="6">
        <f t="shared" si="25"/>
        <v>0</v>
      </c>
      <c r="M61" s="6">
        <f t="shared" si="25"/>
        <v>0</v>
      </c>
      <c r="N61" s="6">
        <f t="shared" si="25"/>
        <v>0</v>
      </c>
      <c r="O61" s="6">
        <f t="shared" si="25"/>
        <v>0</v>
      </c>
      <c r="P61" s="6">
        <f t="shared" si="25"/>
        <v>0</v>
      </c>
      <c r="Q61" s="6">
        <f t="shared" si="25"/>
        <v>0</v>
      </c>
      <c r="R61" s="6">
        <f t="shared" si="25"/>
        <v>0.5</v>
      </c>
      <c r="S61" s="6">
        <f t="shared" si="25"/>
        <v>1</v>
      </c>
      <c r="T61" s="6">
        <f t="shared" si="25"/>
        <v>1.5</v>
      </c>
      <c r="U61" s="6">
        <f t="shared" si="25"/>
        <v>2</v>
      </c>
      <c r="V61" s="6">
        <f t="shared" si="25"/>
        <v>2.5</v>
      </c>
    </row>
    <row r="62" spans="2:22" ht="15.75" customHeight="1" x14ac:dyDescent="0.15">
      <c r="C62" s="14">
        <f>C61+0.5</f>
        <v>-1.5</v>
      </c>
      <c r="D62" s="6">
        <f t="shared" ref="D62:V62" si="26">MAX(0,D41)</f>
        <v>0</v>
      </c>
      <c r="E62" s="6">
        <f t="shared" si="26"/>
        <v>0</v>
      </c>
      <c r="F62" s="6">
        <f t="shared" si="26"/>
        <v>0</v>
      </c>
      <c r="G62" s="6">
        <f t="shared" si="26"/>
        <v>0</v>
      </c>
      <c r="H62" s="6">
        <f t="shared" si="26"/>
        <v>0</v>
      </c>
      <c r="I62" s="6">
        <f t="shared" si="26"/>
        <v>0</v>
      </c>
      <c r="J62" s="6">
        <f t="shared" si="26"/>
        <v>0</v>
      </c>
      <c r="K62" s="6">
        <f t="shared" si="26"/>
        <v>0</v>
      </c>
      <c r="L62" s="6">
        <f t="shared" si="26"/>
        <v>0</v>
      </c>
      <c r="M62" s="6">
        <f t="shared" si="26"/>
        <v>0</v>
      </c>
      <c r="N62" s="6">
        <f t="shared" si="26"/>
        <v>0</v>
      </c>
      <c r="O62" s="6">
        <f t="shared" si="26"/>
        <v>0</v>
      </c>
      <c r="P62" s="6">
        <f t="shared" si="26"/>
        <v>0</v>
      </c>
      <c r="Q62" s="6">
        <f t="shared" si="26"/>
        <v>0.5</v>
      </c>
      <c r="R62" s="6">
        <f t="shared" si="26"/>
        <v>1</v>
      </c>
      <c r="S62" s="6">
        <f t="shared" si="26"/>
        <v>1.5</v>
      </c>
      <c r="T62" s="6">
        <f t="shared" si="26"/>
        <v>2</v>
      </c>
      <c r="U62" s="6">
        <f t="shared" si="26"/>
        <v>2.5</v>
      </c>
      <c r="V62" s="6">
        <f t="shared" si="26"/>
        <v>3</v>
      </c>
    </row>
    <row r="63" spans="2:22" ht="15.75" customHeight="1" x14ac:dyDescent="0.15">
      <c r="C63" s="14">
        <f>C62+0.5</f>
        <v>-1</v>
      </c>
      <c r="D63" s="6">
        <f t="shared" ref="D63:V63" si="27">MAX(0,D42)</f>
        <v>0</v>
      </c>
      <c r="E63" s="6">
        <f t="shared" si="27"/>
        <v>0</v>
      </c>
      <c r="F63" s="6">
        <f t="shared" si="27"/>
        <v>0</v>
      </c>
      <c r="G63" s="6">
        <f t="shared" si="27"/>
        <v>0</v>
      </c>
      <c r="H63" s="6">
        <f t="shared" si="27"/>
        <v>0</v>
      </c>
      <c r="I63" s="6">
        <f t="shared" si="27"/>
        <v>0</v>
      </c>
      <c r="J63" s="6">
        <f t="shared" si="27"/>
        <v>0</v>
      </c>
      <c r="K63" s="6">
        <f t="shared" si="27"/>
        <v>0</v>
      </c>
      <c r="L63" s="6">
        <f t="shared" si="27"/>
        <v>0</v>
      </c>
      <c r="M63" s="6">
        <f t="shared" si="27"/>
        <v>0</v>
      </c>
      <c r="N63" s="6">
        <f t="shared" si="27"/>
        <v>0</v>
      </c>
      <c r="O63" s="6">
        <f t="shared" si="27"/>
        <v>0</v>
      </c>
      <c r="P63" s="6">
        <f t="shared" si="27"/>
        <v>0.5</v>
      </c>
      <c r="Q63" s="6">
        <f t="shared" si="27"/>
        <v>1</v>
      </c>
      <c r="R63" s="6">
        <f t="shared" si="27"/>
        <v>1.5</v>
      </c>
      <c r="S63" s="6">
        <f t="shared" si="27"/>
        <v>2</v>
      </c>
      <c r="T63" s="6">
        <f t="shared" si="27"/>
        <v>2.5</v>
      </c>
      <c r="U63" s="6">
        <f t="shared" si="27"/>
        <v>3</v>
      </c>
      <c r="V63" s="6">
        <f t="shared" si="27"/>
        <v>3.5</v>
      </c>
    </row>
    <row r="64" spans="2:22" ht="15.75" customHeight="1" x14ac:dyDescent="0.15">
      <c r="C64" s="14">
        <f>C63+0.5</f>
        <v>-0.5</v>
      </c>
      <c r="D64" s="6">
        <f t="shared" ref="D64:V64" si="28">MAX(0,D43)</f>
        <v>0</v>
      </c>
      <c r="E64" s="6">
        <f t="shared" si="28"/>
        <v>0</v>
      </c>
      <c r="F64" s="6">
        <f t="shared" si="28"/>
        <v>0</v>
      </c>
      <c r="G64" s="6">
        <f t="shared" si="28"/>
        <v>0</v>
      </c>
      <c r="H64" s="6">
        <f t="shared" si="28"/>
        <v>0</v>
      </c>
      <c r="I64" s="6">
        <f t="shared" si="28"/>
        <v>0</v>
      </c>
      <c r="J64" s="6">
        <f t="shared" si="28"/>
        <v>0</v>
      </c>
      <c r="K64" s="6">
        <f t="shared" si="28"/>
        <v>0</v>
      </c>
      <c r="L64" s="6">
        <f t="shared" si="28"/>
        <v>0</v>
      </c>
      <c r="M64" s="6">
        <f t="shared" si="28"/>
        <v>0</v>
      </c>
      <c r="N64" s="6">
        <f t="shared" si="28"/>
        <v>0</v>
      </c>
      <c r="O64" s="6">
        <f t="shared" si="28"/>
        <v>0.5</v>
      </c>
      <c r="P64" s="6">
        <f t="shared" si="28"/>
        <v>1</v>
      </c>
      <c r="Q64" s="6">
        <f t="shared" si="28"/>
        <v>1.5</v>
      </c>
      <c r="R64" s="6">
        <f t="shared" si="28"/>
        <v>2</v>
      </c>
      <c r="S64" s="6">
        <f t="shared" si="28"/>
        <v>2.5</v>
      </c>
      <c r="T64" s="6">
        <f t="shared" si="28"/>
        <v>3</v>
      </c>
      <c r="U64" s="6">
        <f t="shared" si="28"/>
        <v>3.5</v>
      </c>
      <c r="V64" s="6">
        <f t="shared" si="28"/>
        <v>4</v>
      </c>
    </row>
    <row r="65" spans="3:22" ht="15.75" customHeight="1" x14ac:dyDescent="0.15">
      <c r="C65" s="14">
        <f>C64+0.5</f>
        <v>0</v>
      </c>
      <c r="D65" s="6">
        <f t="shared" ref="D65:V65" si="29">MAX(0,D44)</f>
        <v>0</v>
      </c>
      <c r="E65" s="6">
        <f t="shared" si="29"/>
        <v>0</v>
      </c>
      <c r="F65" s="6">
        <f t="shared" si="29"/>
        <v>0</v>
      </c>
      <c r="G65" s="6">
        <f t="shared" si="29"/>
        <v>0</v>
      </c>
      <c r="H65" s="6">
        <f t="shared" si="29"/>
        <v>0</v>
      </c>
      <c r="I65" s="6">
        <f t="shared" si="29"/>
        <v>0</v>
      </c>
      <c r="J65" s="6">
        <f t="shared" si="29"/>
        <v>0</v>
      </c>
      <c r="K65" s="6">
        <f t="shared" si="29"/>
        <v>0</v>
      </c>
      <c r="L65" s="6">
        <f t="shared" si="29"/>
        <v>0</v>
      </c>
      <c r="M65" s="6">
        <f t="shared" si="29"/>
        <v>0</v>
      </c>
      <c r="N65" s="6">
        <f t="shared" si="29"/>
        <v>0.5</v>
      </c>
      <c r="O65" s="6">
        <f t="shared" si="29"/>
        <v>1</v>
      </c>
      <c r="P65" s="6">
        <f t="shared" si="29"/>
        <v>1.5</v>
      </c>
      <c r="Q65" s="6">
        <f t="shared" si="29"/>
        <v>2</v>
      </c>
      <c r="R65" s="6">
        <f t="shared" si="29"/>
        <v>2.5</v>
      </c>
      <c r="S65" s="6">
        <f t="shared" si="29"/>
        <v>3</v>
      </c>
      <c r="T65" s="6">
        <f t="shared" si="29"/>
        <v>3.5</v>
      </c>
      <c r="U65" s="6">
        <f t="shared" si="29"/>
        <v>4</v>
      </c>
      <c r="V65" s="6">
        <f t="shared" si="29"/>
        <v>4.5</v>
      </c>
    </row>
    <row r="66" spans="3:22" ht="15.75" customHeight="1" x14ac:dyDescent="0.15">
      <c r="C66" s="14">
        <f>C65+0.5</f>
        <v>0.5</v>
      </c>
      <c r="D66" s="6">
        <f t="shared" ref="D66:V66" si="30">MAX(0,D45)</f>
        <v>0</v>
      </c>
      <c r="E66" s="6">
        <f t="shared" si="30"/>
        <v>0</v>
      </c>
      <c r="F66" s="6">
        <f t="shared" si="30"/>
        <v>0</v>
      </c>
      <c r="G66" s="6">
        <f t="shared" si="30"/>
        <v>0</v>
      </c>
      <c r="H66" s="6">
        <f t="shared" si="30"/>
        <v>0</v>
      </c>
      <c r="I66" s="6">
        <f t="shared" si="30"/>
        <v>0</v>
      </c>
      <c r="J66" s="6">
        <f t="shared" si="30"/>
        <v>0</v>
      </c>
      <c r="K66" s="6">
        <f t="shared" si="30"/>
        <v>0</v>
      </c>
      <c r="L66" s="6">
        <f t="shared" si="30"/>
        <v>0</v>
      </c>
      <c r="M66" s="6">
        <f t="shared" si="30"/>
        <v>0.5</v>
      </c>
      <c r="N66" s="6">
        <f t="shared" si="30"/>
        <v>1</v>
      </c>
      <c r="O66" s="6">
        <f t="shared" si="30"/>
        <v>1.5</v>
      </c>
      <c r="P66" s="6">
        <f t="shared" si="30"/>
        <v>2</v>
      </c>
      <c r="Q66" s="6">
        <f t="shared" si="30"/>
        <v>2.5</v>
      </c>
      <c r="R66" s="6">
        <f t="shared" si="30"/>
        <v>3</v>
      </c>
      <c r="S66" s="6">
        <f t="shared" si="30"/>
        <v>3.5</v>
      </c>
      <c r="T66" s="6">
        <f t="shared" si="30"/>
        <v>4</v>
      </c>
      <c r="U66" s="6">
        <f t="shared" si="30"/>
        <v>4.5</v>
      </c>
      <c r="V66" s="6">
        <f t="shared" si="30"/>
        <v>5</v>
      </c>
    </row>
    <row r="67" spans="3:22" ht="15.75" customHeight="1" x14ac:dyDescent="0.15">
      <c r="C67" s="14">
        <f>C66+0.5</f>
        <v>1</v>
      </c>
      <c r="D67" s="6">
        <f t="shared" ref="D67:V67" si="31">MAX(0,D46)</f>
        <v>0</v>
      </c>
      <c r="E67" s="6">
        <f t="shared" si="31"/>
        <v>0</v>
      </c>
      <c r="F67" s="6">
        <f t="shared" si="31"/>
        <v>0</v>
      </c>
      <c r="G67" s="6">
        <f t="shared" si="31"/>
        <v>0</v>
      </c>
      <c r="H67" s="6">
        <f t="shared" si="31"/>
        <v>0</v>
      </c>
      <c r="I67" s="6">
        <f t="shared" si="31"/>
        <v>0</v>
      </c>
      <c r="J67" s="6">
        <f t="shared" si="31"/>
        <v>0</v>
      </c>
      <c r="K67" s="6">
        <f t="shared" si="31"/>
        <v>0</v>
      </c>
      <c r="L67" s="6">
        <f t="shared" si="31"/>
        <v>0.5</v>
      </c>
      <c r="M67" s="6">
        <f t="shared" si="31"/>
        <v>1</v>
      </c>
      <c r="N67" s="6">
        <f t="shared" si="31"/>
        <v>1.5</v>
      </c>
      <c r="O67" s="6">
        <f t="shared" si="31"/>
        <v>2</v>
      </c>
      <c r="P67" s="6">
        <f t="shared" si="31"/>
        <v>2.5</v>
      </c>
      <c r="Q67" s="6">
        <f t="shared" si="31"/>
        <v>3</v>
      </c>
      <c r="R67" s="6">
        <f t="shared" si="31"/>
        <v>3.5</v>
      </c>
      <c r="S67" s="6">
        <f t="shared" si="31"/>
        <v>4</v>
      </c>
      <c r="T67" s="6">
        <f t="shared" si="31"/>
        <v>4.5</v>
      </c>
      <c r="U67" s="6">
        <f t="shared" si="31"/>
        <v>5</v>
      </c>
      <c r="V67" s="6">
        <f t="shared" si="31"/>
        <v>5.5</v>
      </c>
    </row>
    <row r="68" spans="3:22" ht="15.75" customHeight="1" x14ac:dyDescent="0.15">
      <c r="C68" s="14">
        <f>C67+0.5</f>
        <v>1.5</v>
      </c>
      <c r="D68" s="6">
        <f t="shared" ref="D68:V68" si="32">MAX(0,D47)</f>
        <v>0</v>
      </c>
      <c r="E68" s="6">
        <f t="shared" si="32"/>
        <v>0</v>
      </c>
      <c r="F68" s="6">
        <f t="shared" si="32"/>
        <v>0</v>
      </c>
      <c r="G68" s="6">
        <f t="shared" si="32"/>
        <v>0</v>
      </c>
      <c r="H68" s="6">
        <f t="shared" si="32"/>
        <v>0</v>
      </c>
      <c r="I68" s="6">
        <f t="shared" si="32"/>
        <v>0</v>
      </c>
      <c r="J68" s="6">
        <f t="shared" si="32"/>
        <v>0</v>
      </c>
      <c r="K68" s="6">
        <f t="shared" si="32"/>
        <v>0.5</v>
      </c>
      <c r="L68" s="6">
        <f t="shared" si="32"/>
        <v>1</v>
      </c>
      <c r="M68" s="6">
        <f t="shared" si="32"/>
        <v>1.5</v>
      </c>
      <c r="N68" s="6">
        <f t="shared" si="32"/>
        <v>2</v>
      </c>
      <c r="O68" s="6">
        <f t="shared" si="32"/>
        <v>2.5</v>
      </c>
      <c r="P68" s="6">
        <f t="shared" si="32"/>
        <v>3</v>
      </c>
      <c r="Q68" s="6">
        <f t="shared" si="32"/>
        <v>3.5</v>
      </c>
      <c r="R68" s="6">
        <f t="shared" si="32"/>
        <v>4</v>
      </c>
      <c r="S68" s="6">
        <f t="shared" si="32"/>
        <v>4.5</v>
      </c>
      <c r="T68" s="6">
        <f t="shared" si="32"/>
        <v>5</v>
      </c>
      <c r="U68" s="6">
        <f t="shared" si="32"/>
        <v>5.5</v>
      </c>
      <c r="V68" s="6">
        <f t="shared" si="32"/>
        <v>6</v>
      </c>
    </row>
    <row r="69" spans="3:22" ht="15.75" customHeight="1" x14ac:dyDescent="0.15">
      <c r="C69" s="14">
        <f>C68+0.5</f>
        <v>2</v>
      </c>
      <c r="D69" s="6">
        <f t="shared" ref="D69:V69" si="33">MAX(0,D48)</f>
        <v>0</v>
      </c>
      <c r="E69" s="6">
        <f t="shared" si="33"/>
        <v>0</v>
      </c>
      <c r="F69" s="6">
        <f t="shared" si="33"/>
        <v>0</v>
      </c>
      <c r="G69" s="6">
        <f t="shared" si="33"/>
        <v>0</v>
      </c>
      <c r="H69" s="6">
        <f t="shared" si="33"/>
        <v>0</v>
      </c>
      <c r="I69" s="6">
        <f t="shared" si="33"/>
        <v>0</v>
      </c>
      <c r="J69" s="6">
        <f t="shared" si="33"/>
        <v>0.5</v>
      </c>
      <c r="K69" s="6">
        <f t="shared" si="33"/>
        <v>1</v>
      </c>
      <c r="L69" s="6">
        <f t="shared" si="33"/>
        <v>1.5</v>
      </c>
      <c r="M69" s="6">
        <f t="shared" si="33"/>
        <v>2</v>
      </c>
      <c r="N69" s="6">
        <f t="shared" si="33"/>
        <v>2.5</v>
      </c>
      <c r="O69" s="6">
        <f t="shared" si="33"/>
        <v>3</v>
      </c>
      <c r="P69" s="6">
        <f t="shared" si="33"/>
        <v>3.5</v>
      </c>
      <c r="Q69" s="6">
        <f t="shared" si="33"/>
        <v>4</v>
      </c>
      <c r="R69" s="6">
        <f t="shared" si="33"/>
        <v>4.5</v>
      </c>
      <c r="S69" s="6">
        <f t="shared" si="33"/>
        <v>5</v>
      </c>
      <c r="T69" s="6">
        <f t="shared" si="33"/>
        <v>5.5</v>
      </c>
      <c r="U69" s="6">
        <f t="shared" si="33"/>
        <v>6</v>
      </c>
      <c r="V69" s="6">
        <f t="shared" si="33"/>
        <v>6.5</v>
      </c>
    </row>
    <row r="70" spans="3:22" ht="15.75" customHeight="1" x14ac:dyDescent="0.15">
      <c r="C70" s="14">
        <f>C69+0.5</f>
        <v>2.5</v>
      </c>
      <c r="D70" s="6">
        <f t="shared" ref="D70:V70" si="34">MAX(0,D49)</f>
        <v>0</v>
      </c>
      <c r="E70" s="6">
        <f t="shared" si="34"/>
        <v>0</v>
      </c>
      <c r="F70" s="6">
        <f t="shared" si="34"/>
        <v>0</v>
      </c>
      <c r="G70" s="6">
        <f t="shared" si="34"/>
        <v>0</v>
      </c>
      <c r="H70" s="6">
        <f t="shared" si="34"/>
        <v>0</v>
      </c>
      <c r="I70" s="6">
        <f t="shared" si="34"/>
        <v>0.5</v>
      </c>
      <c r="J70" s="6">
        <f t="shared" si="34"/>
        <v>1</v>
      </c>
      <c r="K70" s="6">
        <f t="shared" si="34"/>
        <v>1.5</v>
      </c>
      <c r="L70" s="6">
        <f t="shared" si="34"/>
        <v>2</v>
      </c>
      <c r="M70" s="6">
        <f t="shared" si="34"/>
        <v>2.5</v>
      </c>
      <c r="N70" s="6">
        <f t="shared" si="34"/>
        <v>3</v>
      </c>
      <c r="O70" s="6">
        <f t="shared" si="34"/>
        <v>3.5</v>
      </c>
      <c r="P70" s="6">
        <f t="shared" si="34"/>
        <v>4</v>
      </c>
      <c r="Q70" s="6">
        <f t="shared" si="34"/>
        <v>4.5</v>
      </c>
      <c r="R70" s="6">
        <f t="shared" si="34"/>
        <v>5</v>
      </c>
      <c r="S70" s="6">
        <f t="shared" si="34"/>
        <v>5.5</v>
      </c>
      <c r="T70" s="6">
        <f t="shared" si="34"/>
        <v>6</v>
      </c>
      <c r="U70" s="6">
        <f t="shared" si="34"/>
        <v>6.5</v>
      </c>
      <c r="V70" s="6">
        <f t="shared" si="34"/>
        <v>7</v>
      </c>
    </row>
    <row r="71" spans="3:22" ht="15.75" customHeight="1" x14ac:dyDescent="0.15">
      <c r="C71" s="14">
        <f>C70+0.5</f>
        <v>3</v>
      </c>
      <c r="D71" s="6">
        <f t="shared" ref="D71:V71" si="35">MAX(0,D50)</f>
        <v>0</v>
      </c>
      <c r="E71" s="6">
        <f t="shared" si="35"/>
        <v>0</v>
      </c>
      <c r="F71" s="6">
        <f t="shared" si="35"/>
        <v>0</v>
      </c>
      <c r="G71" s="6">
        <f t="shared" si="35"/>
        <v>0</v>
      </c>
      <c r="H71" s="6">
        <f t="shared" si="35"/>
        <v>0.5</v>
      </c>
      <c r="I71" s="6">
        <f t="shared" si="35"/>
        <v>1</v>
      </c>
      <c r="J71" s="6">
        <f t="shared" si="35"/>
        <v>1.5</v>
      </c>
      <c r="K71" s="6">
        <f t="shared" si="35"/>
        <v>2</v>
      </c>
      <c r="L71" s="6">
        <f t="shared" si="35"/>
        <v>2.5</v>
      </c>
      <c r="M71" s="6">
        <f t="shared" si="35"/>
        <v>3</v>
      </c>
      <c r="N71" s="6">
        <f t="shared" si="35"/>
        <v>3.5</v>
      </c>
      <c r="O71" s="6">
        <f t="shared" si="35"/>
        <v>4</v>
      </c>
      <c r="P71" s="6">
        <f t="shared" si="35"/>
        <v>4.5</v>
      </c>
      <c r="Q71" s="6">
        <f t="shared" si="35"/>
        <v>5</v>
      </c>
      <c r="R71" s="6">
        <f t="shared" si="35"/>
        <v>5.5</v>
      </c>
      <c r="S71" s="6">
        <f t="shared" si="35"/>
        <v>6</v>
      </c>
      <c r="T71" s="6">
        <f t="shared" si="35"/>
        <v>6.5</v>
      </c>
      <c r="U71" s="6">
        <f t="shared" si="35"/>
        <v>7</v>
      </c>
      <c r="V71" s="6">
        <f t="shared" si="35"/>
        <v>7.5</v>
      </c>
    </row>
    <row r="72" spans="3:22" ht="15.75" customHeight="1" x14ac:dyDescent="0.15">
      <c r="C72" s="14">
        <f>C71+0.5</f>
        <v>3.5</v>
      </c>
      <c r="D72" s="6">
        <f t="shared" ref="D72:V72" si="36">MAX(0,D51)</f>
        <v>0</v>
      </c>
      <c r="E72" s="6">
        <f t="shared" si="36"/>
        <v>0</v>
      </c>
      <c r="F72" s="6">
        <f t="shared" si="36"/>
        <v>0</v>
      </c>
      <c r="G72" s="6">
        <f t="shared" si="36"/>
        <v>0.5</v>
      </c>
      <c r="H72" s="6">
        <f t="shared" si="36"/>
        <v>1</v>
      </c>
      <c r="I72" s="6">
        <f t="shared" si="36"/>
        <v>1.5</v>
      </c>
      <c r="J72" s="6">
        <f t="shared" si="36"/>
        <v>2</v>
      </c>
      <c r="K72" s="6">
        <f t="shared" si="36"/>
        <v>2.5</v>
      </c>
      <c r="L72" s="6">
        <f t="shared" si="36"/>
        <v>3</v>
      </c>
      <c r="M72" s="6">
        <f t="shared" si="36"/>
        <v>3.5</v>
      </c>
      <c r="N72" s="6">
        <f t="shared" si="36"/>
        <v>4</v>
      </c>
      <c r="O72" s="6">
        <f t="shared" si="36"/>
        <v>4.5</v>
      </c>
      <c r="P72" s="6">
        <f t="shared" si="36"/>
        <v>5</v>
      </c>
      <c r="Q72" s="6">
        <f t="shared" si="36"/>
        <v>5.5</v>
      </c>
      <c r="R72" s="6">
        <f t="shared" si="36"/>
        <v>6</v>
      </c>
      <c r="S72" s="6">
        <f t="shared" si="36"/>
        <v>6.5</v>
      </c>
      <c r="T72" s="6">
        <f t="shared" si="36"/>
        <v>7</v>
      </c>
      <c r="U72" s="6">
        <f t="shared" si="36"/>
        <v>7.5</v>
      </c>
      <c r="V72" s="6">
        <f t="shared" si="36"/>
        <v>8</v>
      </c>
    </row>
    <row r="73" spans="3:22" ht="15.75" customHeight="1" x14ac:dyDescent="0.15">
      <c r="C73" s="14">
        <f>C72+0.5</f>
        <v>4</v>
      </c>
      <c r="D73" s="6">
        <f t="shared" ref="D73:V73" si="37">MAX(0,D52)</f>
        <v>0</v>
      </c>
      <c r="E73" s="6">
        <f t="shared" si="37"/>
        <v>0</v>
      </c>
      <c r="F73" s="6">
        <f t="shared" si="37"/>
        <v>0.5</v>
      </c>
      <c r="G73" s="6">
        <f t="shared" si="37"/>
        <v>1</v>
      </c>
      <c r="H73" s="6">
        <f t="shared" si="37"/>
        <v>1.5</v>
      </c>
      <c r="I73" s="6">
        <f t="shared" si="37"/>
        <v>2</v>
      </c>
      <c r="J73" s="6">
        <f t="shared" si="37"/>
        <v>2.5</v>
      </c>
      <c r="K73" s="6">
        <f t="shared" si="37"/>
        <v>3</v>
      </c>
      <c r="L73" s="6">
        <f t="shared" si="37"/>
        <v>3.5</v>
      </c>
      <c r="M73" s="6">
        <f t="shared" si="37"/>
        <v>4</v>
      </c>
      <c r="N73" s="6">
        <f t="shared" si="37"/>
        <v>4.5</v>
      </c>
      <c r="O73" s="6">
        <f t="shared" si="37"/>
        <v>5</v>
      </c>
      <c r="P73" s="6">
        <f t="shared" si="37"/>
        <v>5.5</v>
      </c>
      <c r="Q73" s="6">
        <f t="shared" si="37"/>
        <v>6</v>
      </c>
      <c r="R73" s="6">
        <f t="shared" si="37"/>
        <v>6.5</v>
      </c>
      <c r="S73" s="6">
        <f t="shared" si="37"/>
        <v>7</v>
      </c>
      <c r="T73" s="6">
        <f t="shared" si="37"/>
        <v>7.5</v>
      </c>
      <c r="U73" s="6">
        <f t="shared" si="37"/>
        <v>8</v>
      </c>
      <c r="V73" s="6">
        <f t="shared" si="37"/>
        <v>8.5</v>
      </c>
    </row>
    <row r="74" spans="3:22" ht="15.75" customHeight="1" x14ac:dyDescent="0.15">
      <c r="C74" s="14">
        <f>C73+0.5</f>
        <v>4.5</v>
      </c>
      <c r="D74" s="6">
        <f t="shared" ref="D74:V74" si="38">MAX(0,D53)</f>
        <v>0</v>
      </c>
      <c r="E74" s="6">
        <f t="shared" si="38"/>
        <v>0.5</v>
      </c>
      <c r="F74" s="6">
        <f t="shared" si="38"/>
        <v>1</v>
      </c>
      <c r="G74" s="6">
        <f t="shared" si="38"/>
        <v>1.5</v>
      </c>
      <c r="H74" s="6">
        <f t="shared" si="38"/>
        <v>2</v>
      </c>
      <c r="I74" s="6">
        <f t="shared" si="38"/>
        <v>2.5</v>
      </c>
      <c r="J74" s="6">
        <f t="shared" si="38"/>
        <v>3</v>
      </c>
      <c r="K74" s="6">
        <f t="shared" si="38"/>
        <v>3.5</v>
      </c>
      <c r="L74" s="6">
        <f t="shared" si="38"/>
        <v>4</v>
      </c>
      <c r="M74" s="6">
        <f t="shared" si="38"/>
        <v>4.5</v>
      </c>
      <c r="N74" s="6">
        <f t="shared" si="38"/>
        <v>5</v>
      </c>
      <c r="O74" s="6">
        <f t="shared" si="38"/>
        <v>5.5</v>
      </c>
      <c r="P74" s="6">
        <f t="shared" si="38"/>
        <v>6</v>
      </c>
      <c r="Q74" s="6">
        <f t="shared" si="38"/>
        <v>6.5</v>
      </c>
      <c r="R74" s="6">
        <f t="shared" si="38"/>
        <v>7</v>
      </c>
      <c r="S74" s="6">
        <f t="shared" si="38"/>
        <v>7.5</v>
      </c>
      <c r="T74" s="6">
        <f t="shared" si="38"/>
        <v>8</v>
      </c>
      <c r="U74" s="6">
        <f t="shared" si="38"/>
        <v>8.5</v>
      </c>
      <c r="V74" s="6">
        <f t="shared" si="38"/>
        <v>9</v>
      </c>
    </row>
    <row r="88" spans="1:42" ht="15.75" customHeight="1" x14ac:dyDescent="0.15">
      <c r="A88" s="23" t="s">
        <v>7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91" spans="1:42" ht="15.75" customHeight="1" x14ac:dyDescent="0.15">
      <c r="Q91" s="15"/>
    </row>
    <row r="93" spans="1:42" ht="15.75" customHeight="1" x14ac:dyDescent="0.15">
      <c r="B93" s="2" t="s">
        <v>1</v>
      </c>
      <c r="C93" s="16">
        <v>-5</v>
      </c>
      <c r="D93" s="16">
        <f>C93+0.5</f>
        <v>-4.5</v>
      </c>
      <c r="E93" s="16">
        <f>D93+0.5</f>
        <v>-4</v>
      </c>
      <c r="F93" s="16">
        <f>E93+0.5</f>
        <v>-3.5</v>
      </c>
      <c r="G93" s="16">
        <f>F93+0.5</f>
        <v>-3</v>
      </c>
      <c r="H93" s="16">
        <f>G93+0.5</f>
        <v>-2.5</v>
      </c>
      <c r="I93" s="16">
        <f>H93+0.5</f>
        <v>-2</v>
      </c>
      <c r="J93" s="16">
        <f>I93+0.5</f>
        <v>-1.5</v>
      </c>
      <c r="K93" s="16">
        <f>J93+0.5</f>
        <v>-1</v>
      </c>
      <c r="L93" s="16">
        <f>K93+0.5</f>
        <v>-0.5</v>
      </c>
      <c r="M93" s="16">
        <f>L93+0.5</f>
        <v>0</v>
      </c>
      <c r="N93" s="16">
        <f>M93+0.5</f>
        <v>0.5</v>
      </c>
      <c r="O93" s="16">
        <f>N93+0.5</f>
        <v>1</v>
      </c>
      <c r="P93" s="16">
        <f>O93+0.5</f>
        <v>1.5</v>
      </c>
      <c r="Q93" s="16">
        <f>P93+0.5</f>
        <v>2</v>
      </c>
      <c r="R93" s="16">
        <f>Q93+0.5</f>
        <v>2.5</v>
      </c>
      <c r="S93" s="16">
        <f>R93+0.5</f>
        <v>3</v>
      </c>
      <c r="T93" s="16">
        <f>S93+0.5</f>
        <v>3.5</v>
      </c>
      <c r="U93" s="16">
        <f>T93+0.5</f>
        <v>4</v>
      </c>
      <c r="V93" s="16">
        <f>U93+0.5</f>
        <v>4.5</v>
      </c>
    </row>
    <row r="94" spans="1:42" ht="15.75" customHeight="1" x14ac:dyDescent="0.15">
      <c r="B94" s="4" t="s">
        <v>2</v>
      </c>
      <c r="C94" s="6">
        <f t="shared" ref="C94:V94" si="39">MAX(0, C93)</f>
        <v>0</v>
      </c>
      <c r="D94" s="6">
        <f t="shared" si="39"/>
        <v>0</v>
      </c>
      <c r="E94" s="6">
        <f t="shared" si="39"/>
        <v>0</v>
      </c>
      <c r="F94" s="6">
        <f t="shared" si="39"/>
        <v>0</v>
      </c>
      <c r="G94" s="6">
        <f t="shared" si="39"/>
        <v>0</v>
      </c>
      <c r="H94" s="6">
        <f t="shared" si="39"/>
        <v>0</v>
      </c>
      <c r="I94" s="6">
        <f t="shared" si="39"/>
        <v>0</v>
      </c>
      <c r="J94" s="6">
        <f t="shared" si="39"/>
        <v>0</v>
      </c>
      <c r="K94" s="6">
        <f t="shared" si="39"/>
        <v>0</v>
      </c>
      <c r="L94" s="6">
        <f t="shared" si="39"/>
        <v>0</v>
      </c>
      <c r="M94" s="6">
        <f t="shared" si="39"/>
        <v>0</v>
      </c>
      <c r="N94" s="6">
        <f t="shared" si="39"/>
        <v>0.5</v>
      </c>
      <c r="O94" s="6">
        <f t="shared" si="39"/>
        <v>1</v>
      </c>
      <c r="P94" s="6">
        <f t="shared" si="39"/>
        <v>1.5</v>
      </c>
      <c r="Q94" s="6">
        <f t="shared" si="39"/>
        <v>2</v>
      </c>
      <c r="R94" s="6">
        <f t="shared" si="39"/>
        <v>2.5</v>
      </c>
      <c r="S94" s="6">
        <f t="shared" si="39"/>
        <v>3</v>
      </c>
      <c r="T94" s="6">
        <f t="shared" si="39"/>
        <v>3.5</v>
      </c>
      <c r="U94" s="6">
        <f t="shared" si="39"/>
        <v>4</v>
      </c>
      <c r="V94" s="6">
        <f t="shared" si="39"/>
        <v>4.5</v>
      </c>
    </row>
    <row r="95" spans="1:42" ht="15.75" customHeight="1" x14ac:dyDescent="0.15">
      <c r="B95" s="8" t="s">
        <v>8</v>
      </c>
      <c r="C95" s="6">
        <f t="shared" ref="C95:V95" si="40">MAX(0, C94)^2</f>
        <v>0</v>
      </c>
      <c r="D95" s="6">
        <f t="shared" si="40"/>
        <v>0</v>
      </c>
      <c r="E95" s="6">
        <f t="shared" si="40"/>
        <v>0</v>
      </c>
      <c r="F95" s="6">
        <f t="shared" si="40"/>
        <v>0</v>
      </c>
      <c r="G95" s="6">
        <f t="shared" si="40"/>
        <v>0</v>
      </c>
      <c r="H95" s="6">
        <f t="shared" si="40"/>
        <v>0</v>
      </c>
      <c r="I95" s="6">
        <f t="shared" si="40"/>
        <v>0</v>
      </c>
      <c r="J95" s="6">
        <f t="shared" si="40"/>
        <v>0</v>
      </c>
      <c r="K95" s="6">
        <f t="shared" si="40"/>
        <v>0</v>
      </c>
      <c r="L95" s="6">
        <f t="shared" si="40"/>
        <v>0</v>
      </c>
      <c r="M95" s="6">
        <f t="shared" si="40"/>
        <v>0</v>
      </c>
      <c r="N95" s="6">
        <f t="shared" si="40"/>
        <v>0.25</v>
      </c>
      <c r="O95" s="6">
        <f t="shared" si="40"/>
        <v>1</v>
      </c>
      <c r="P95" s="6">
        <f t="shared" si="40"/>
        <v>2.25</v>
      </c>
      <c r="Q95" s="6">
        <f t="shared" si="40"/>
        <v>4</v>
      </c>
      <c r="R95" s="6">
        <f t="shared" si="40"/>
        <v>6.25</v>
      </c>
      <c r="S95" s="6">
        <f t="shared" si="40"/>
        <v>9</v>
      </c>
      <c r="T95" s="6">
        <f t="shared" si="40"/>
        <v>12.25</v>
      </c>
      <c r="U95" s="6">
        <f t="shared" si="40"/>
        <v>16</v>
      </c>
      <c r="V95" s="6">
        <f t="shared" si="40"/>
        <v>20.25</v>
      </c>
    </row>
    <row r="96" spans="1:42" ht="13" x14ac:dyDescent="0.15">
      <c r="B96" s="7" t="s">
        <v>3</v>
      </c>
    </row>
    <row r="117" spans="1:42" ht="13" x14ac:dyDescent="0.15">
      <c r="A117" s="23" t="s">
        <v>9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21" spans="1:42" ht="13" x14ac:dyDescent="0.15">
      <c r="B121" s="2" t="s">
        <v>10</v>
      </c>
      <c r="C121" s="21">
        <v>0.2</v>
      </c>
    </row>
    <row r="123" spans="1:42" ht="13" x14ac:dyDescent="0.15">
      <c r="B123" s="2" t="s">
        <v>1</v>
      </c>
      <c r="C123" s="16">
        <v>-5</v>
      </c>
      <c r="D123" s="16">
        <f>C123+0.5</f>
        <v>-4.5</v>
      </c>
      <c r="E123" s="16">
        <f>D123+0.5</f>
        <v>-4</v>
      </c>
      <c r="F123" s="16">
        <f>E123+0.5</f>
        <v>-3.5</v>
      </c>
      <c r="G123" s="16">
        <f>F123+0.5</f>
        <v>-3</v>
      </c>
      <c r="H123" s="16">
        <f>G123+0.5</f>
        <v>-2.5</v>
      </c>
      <c r="I123" s="16">
        <f>H123+0.5</f>
        <v>-2</v>
      </c>
      <c r="J123" s="16">
        <f>I123+0.5</f>
        <v>-1.5</v>
      </c>
      <c r="K123" s="16">
        <f>J123+0.5</f>
        <v>-1</v>
      </c>
      <c r="L123" s="16">
        <f>K123+0.5</f>
        <v>-0.5</v>
      </c>
      <c r="M123" s="16">
        <f>L123+0.5</f>
        <v>0</v>
      </c>
      <c r="N123" s="16">
        <f>M123+0.5</f>
        <v>0.5</v>
      </c>
      <c r="O123" s="16">
        <f>N123+0.5</f>
        <v>1</v>
      </c>
      <c r="P123" s="16">
        <f>O123+0.5</f>
        <v>1.5</v>
      </c>
      <c r="Q123" s="16">
        <f>P123+0.5</f>
        <v>2</v>
      </c>
      <c r="R123" s="16">
        <f>Q123+0.5</f>
        <v>2.5</v>
      </c>
      <c r="S123" s="16">
        <f>R123+0.5</f>
        <v>3</v>
      </c>
      <c r="T123" s="16">
        <f>S123+0.5</f>
        <v>3.5</v>
      </c>
      <c r="U123" s="16">
        <f>T123+0.5</f>
        <v>4</v>
      </c>
      <c r="V123" s="16">
        <f>U123+0.5</f>
        <v>4.5</v>
      </c>
    </row>
    <row r="124" spans="1:42" ht="13" x14ac:dyDescent="0.15">
      <c r="B124" s="4" t="s">
        <v>2</v>
      </c>
      <c r="C124" s="6">
        <f t="shared" ref="C124:V124" si="41">MAX(0, C123)</f>
        <v>0</v>
      </c>
      <c r="D124" s="6">
        <f t="shared" si="41"/>
        <v>0</v>
      </c>
      <c r="E124" s="6">
        <f t="shared" si="41"/>
        <v>0</v>
      </c>
      <c r="F124" s="6">
        <f t="shared" si="41"/>
        <v>0</v>
      </c>
      <c r="G124" s="6">
        <f t="shared" si="41"/>
        <v>0</v>
      </c>
      <c r="H124" s="6">
        <f t="shared" si="41"/>
        <v>0</v>
      </c>
      <c r="I124" s="6">
        <f t="shared" si="41"/>
        <v>0</v>
      </c>
      <c r="J124" s="6">
        <f t="shared" si="41"/>
        <v>0</v>
      </c>
      <c r="K124" s="6">
        <f t="shared" si="41"/>
        <v>0</v>
      </c>
      <c r="L124" s="6">
        <f t="shared" si="41"/>
        <v>0</v>
      </c>
      <c r="M124" s="6">
        <f t="shared" si="41"/>
        <v>0</v>
      </c>
      <c r="N124" s="6">
        <f t="shared" si="41"/>
        <v>0.5</v>
      </c>
      <c r="O124" s="6">
        <f t="shared" si="41"/>
        <v>1</v>
      </c>
      <c r="P124" s="6">
        <f t="shared" si="41"/>
        <v>1.5</v>
      </c>
      <c r="Q124" s="6">
        <f t="shared" si="41"/>
        <v>2</v>
      </c>
      <c r="R124" s="6">
        <f t="shared" si="41"/>
        <v>2.5</v>
      </c>
      <c r="S124" s="6">
        <f t="shared" si="41"/>
        <v>3</v>
      </c>
      <c r="T124" s="6">
        <f t="shared" si="41"/>
        <v>3.5</v>
      </c>
      <c r="U124" s="6">
        <f t="shared" si="41"/>
        <v>4</v>
      </c>
      <c r="V124" s="6">
        <f t="shared" si="41"/>
        <v>4.5</v>
      </c>
    </row>
    <row r="125" spans="1:42" ht="13" x14ac:dyDescent="0.15">
      <c r="B125" s="8" t="s">
        <v>8</v>
      </c>
      <c r="C125" s="6">
        <f t="shared" ref="C125:V125" si="42">MAX(0, C124)^2</f>
        <v>0</v>
      </c>
      <c r="D125" s="6">
        <f t="shared" si="42"/>
        <v>0</v>
      </c>
      <c r="E125" s="6">
        <f t="shared" si="42"/>
        <v>0</v>
      </c>
      <c r="F125" s="6">
        <f t="shared" si="42"/>
        <v>0</v>
      </c>
      <c r="G125" s="6">
        <f t="shared" si="42"/>
        <v>0</v>
      </c>
      <c r="H125" s="6">
        <f t="shared" si="42"/>
        <v>0</v>
      </c>
      <c r="I125" s="6">
        <f t="shared" si="42"/>
        <v>0</v>
      </c>
      <c r="J125" s="6">
        <f t="shared" si="42"/>
        <v>0</v>
      </c>
      <c r="K125" s="6">
        <f t="shared" si="42"/>
        <v>0</v>
      </c>
      <c r="L125" s="6">
        <f t="shared" si="42"/>
        <v>0</v>
      </c>
      <c r="M125" s="6">
        <f t="shared" si="42"/>
        <v>0</v>
      </c>
      <c r="N125" s="6">
        <f t="shared" si="42"/>
        <v>0.25</v>
      </c>
      <c r="O125" s="6">
        <f t="shared" si="42"/>
        <v>1</v>
      </c>
      <c r="P125" s="6">
        <f t="shared" si="42"/>
        <v>2.25</v>
      </c>
      <c r="Q125" s="6">
        <f t="shared" si="42"/>
        <v>4</v>
      </c>
      <c r="R125" s="6">
        <f t="shared" si="42"/>
        <v>6.25</v>
      </c>
      <c r="S125" s="6">
        <f t="shared" si="42"/>
        <v>9</v>
      </c>
      <c r="T125" s="6">
        <f t="shared" si="42"/>
        <v>12.25</v>
      </c>
      <c r="U125" s="6">
        <f t="shared" si="42"/>
        <v>16</v>
      </c>
      <c r="V125" s="6">
        <f t="shared" si="42"/>
        <v>20.25</v>
      </c>
    </row>
    <row r="126" spans="1:42" ht="13" x14ac:dyDescent="0.15">
      <c r="B126" s="8" t="s">
        <v>11</v>
      </c>
      <c r="C126" s="6">
        <f t="shared" ref="C126:V126" si="43">IF(C124&gt;0,C124, C123*$C$121)</f>
        <v>-1</v>
      </c>
      <c r="D126" s="6">
        <f t="shared" si="43"/>
        <v>-0.9</v>
      </c>
      <c r="E126" s="6">
        <f t="shared" si="43"/>
        <v>-0.8</v>
      </c>
      <c r="F126" s="6">
        <f t="shared" si="43"/>
        <v>-0.70000000000000007</v>
      </c>
      <c r="G126" s="6">
        <f t="shared" si="43"/>
        <v>-0.60000000000000009</v>
      </c>
      <c r="H126" s="6">
        <f t="shared" si="43"/>
        <v>-0.5</v>
      </c>
      <c r="I126" s="6">
        <f t="shared" si="43"/>
        <v>-0.4</v>
      </c>
      <c r="J126" s="6">
        <f t="shared" si="43"/>
        <v>-0.30000000000000004</v>
      </c>
      <c r="K126" s="6">
        <f t="shared" si="43"/>
        <v>-0.2</v>
      </c>
      <c r="L126" s="6">
        <f t="shared" si="43"/>
        <v>-0.1</v>
      </c>
      <c r="M126" s="6">
        <f t="shared" si="43"/>
        <v>0</v>
      </c>
      <c r="N126" s="6">
        <f t="shared" si="43"/>
        <v>0.5</v>
      </c>
      <c r="O126" s="6">
        <f t="shared" si="43"/>
        <v>1</v>
      </c>
      <c r="P126" s="6">
        <f t="shared" si="43"/>
        <v>1.5</v>
      </c>
      <c r="Q126" s="6">
        <f t="shared" si="43"/>
        <v>2</v>
      </c>
      <c r="R126" s="6">
        <f t="shared" si="43"/>
        <v>2.5</v>
      </c>
      <c r="S126" s="6">
        <f t="shared" si="43"/>
        <v>3</v>
      </c>
      <c r="T126" s="6">
        <f t="shared" si="43"/>
        <v>3.5</v>
      </c>
      <c r="U126" s="6">
        <f t="shared" si="43"/>
        <v>4</v>
      </c>
      <c r="V126" s="6">
        <f t="shared" si="43"/>
        <v>4.5</v>
      </c>
    </row>
    <row r="150" spans="1:42" ht="13" x14ac:dyDescent="0.15">
      <c r="A150" s="23" t="s">
        <v>12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4" spans="1:42" ht="13" x14ac:dyDescent="0.15">
      <c r="B154" s="2"/>
      <c r="C154" s="7"/>
    </row>
    <row r="156" spans="1:42" ht="13" x14ac:dyDescent="0.15">
      <c r="B156" s="2" t="s">
        <v>1</v>
      </c>
      <c r="C156" s="16">
        <v>-5</v>
      </c>
      <c r="D156" s="16">
        <f>C156+0.5</f>
        <v>-4.5</v>
      </c>
      <c r="E156" s="16">
        <f>D156+0.5</f>
        <v>-4</v>
      </c>
      <c r="F156" s="16">
        <f>E156+0.5</f>
        <v>-3.5</v>
      </c>
      <c r="G156" s="16">
        <f>F156+0.5</f>
        <v>-3</v>
      </c>
      <c r="H156" s="16">
        <f>G156+0.5</f>
        <v>-2.5</v>
      </c>
      <c r="I156" s="16">
        <f>H156+0.5</f>
        <v>-2</v>
      </c>
      <c r="J156" s="16">
        <f>I156+0.5</f>
        <v>-1.5</v>
      </c>
      <c r="K156" s="16">
        <f>J156+0.5</f>
        <v>-1</v>
      </c>
      <c r="L156" s="16">
        <f>K156+0.5</f>
        <v>-0.5</v>
      </c>
      <c r="M156" s="16">
        <f>L156+0.5</f>
        <v>0</v>
      </c>
      <c r="N156" s="16">
        <f>M156+0.5</f>
        <v>0.5</v>
      </c>
      <c r="O156" s="16">
        <f>N156+0.5</f>
        <v>1</v>
      </c>
      <c r="P156" s="16">
        <f>O156+0.5</f>
        <v>1.5</v>
      </c>
      <c r="Q156" s="16">
        <f>P156+0.5</f>
        <v>2</v>
      </c>
      <c r="R156" s="16">
        <f>Q156+0.5</f>
        <v>2.5</v>
      </c>
      <c r="S156" s="16">
        <f>R156+0.5</f>
        <v>3</v>
      </c>
      <c r="T156" s="16">
        <f>S156+0.5</f>
        <v>3.5</v>
      </c>
      <c r="U156" s="16">
        <f>T156+0.5</f>
        <v>4</v>
      </c>
      <c r="V156" s="16">
        <f>U156+0.5</f>
        <v>4.5</v>
      </c>
    </row>
    <row r="157" spans="1:42" ht="13" x14ac:dyDescent="0.15">
      <c r="B157" s="4" t="s">
        <v>2</v>
      </c>
      <c r="C157" s="6">
        <f t="shared" ref="C157:V157" si="44">MAX(0, C156)</f>
        <v>0</v>
      </c>
      <c r="D157" s="6">
        <f t="shared" si="44"/>
        <v>0</v>
      </c>
      <c r="E157" s="6">
        <f t="shared" si="44"/>
        <v>0</v>
      </c>
      <c r="F157" s="6">
        <f t="shared" si="44"/>
        <v>0</v>
      </c>
      <c r="G157" s="6">
        <f t="shared" si="44"/>
        <v>0</v>
      </c>
      <c r="H157" s="6">
        <f t="shared" si="44"/>
        <v>0</v>
      </c>
      <c r="I157" s="6">
        <f t="shared" si="44"/>
        <v>0</v>
      </c>
      <c r="J157" s="6">
        <f t="shared" si="44"/>
        <v>0</v>
      </c>
      <c r="K157" s="6">
        <f t="shared" si="44"/>
        <v>0</v>
      </c>
      <c r="L157" s="6">
        <f t="shared" si="44"/>
        <v>0</v>
      </c>
      <c r="M157" s="6">
        <f t="shared" si="44"/>
        <v>0</v>
      </c>
      <c r="N157" s="6">
        <f t="shared" si="44"/>
        <v>0.5</v>
      </c>
      <c r="O157" s="6">
        <f t="shared" si="44"/>
        <v>1</v>
      </c>
      <c r="P157" s="6">
        <f t="shared" si="44"/>
        <v>1.5</v>
      </c>
      <c r="Q157" s="6">
        <f t="shared" si="44"/>
        <v>2</v>
      </c>
      <c r="R157" s="6">
        <f t="shared" si="44"/>
        <v>2.5</v>
      </c>
      <c r="S157" s="6">
        <f t="shared" si="44"/>
        <v>3</v>
      </c>
      <c r="T157" s="6">
        <f t="shared" si="44"/>
        <v>3.5</v>
      </c>
      <c r="U157" s="6">
        <f t="shared" si="44"/>
        <v>4</v>
      </c>
      <c r="V157" s="6">
        <f t="shared" si="44"/>
        <v>4.5</v>
      </c>
    </row>
    <row r="158" spans="1:42" ht="13" x14ac:dyDescent="0.15">
      <c r="B158" s="4" t="s">
        <v>13</v>
      </c>
      <c r="C158" s="17">
        <f t="shared" ref="C158:V158" si="45">0.5 * C156* (1 + TANH(SQRT(2/PI()) * (C156 + 0.044715 * C156^3)))</f>
        <v>-2.2917961944868281E-7</v>
      </c>
      <c r="D158" s="17">
        <f t="shared" si="45"/>
        <v>-5.1367374121757958E-6</v>
      </c>
      <c r="E158" s="17">
        <f t="shared" si="45"/>
        <v>-7.0245948192271257E-5</v>
      </c>
      <c r="F158" s="17">
        <f t="shared" si="45"/>
        <v>-6.1619765537374027E-4</v>
      </c>
      <c r="G158" s="17">
        <f t="shared" si="45"/>
        <v>-3.6373920817728278E-3</v>
      </c>
      <c r="H158" s="17">
        <f t="shared" si="45"/>
        <v>-1.5084266089998577E-2</v>
      </c>
      <c r="I158" s="17">
        <f t="shared" si="45"/>
        <v>-4.5402305912224938E-2</v>
      </c>
      <c r="J158" s="17">
        <f t="shared" si="45"/>
        <v>-0.10042842301976715</v>
      </c>
      <c r="K158" s="17">
        <f t="shared" si="45"/>
        <v>-0.15880800939172324</v>
      </c>
      <c r="L158" s="17">
        <f t="shared" si="45"/>
        <v>-0.15428599017485609</v>
      </c>
      <c r="M158" s="17">
        <f t="shared" si="45"/>
        <v>0</v>
      </c>
      <c r="N158" s="17">
        <f t="shared" si="45"/>
        <v>0.34571400982514389</v>
      </c>
      <c r="O158" s="17">
        <f t="shared" si="45"/>
        <v>0.84119199060827676</v>
      </c>
      <c r="P158" s="17">
        <f t="shared" si="45"/>
        <v>1.3995715769802328</v>
      </c>
      <c r="Q158" s="17">
        <f t="shared" si="45"/>
        <v>1.954597694087775</v>
      </c>
      <c r="R158" s="17">
        <f t="shared" si="45"/>
        <v>2.4849157339100012</v>
      </c>
      <c r="S158" s="17">
        <f t="shared" si="45"/>
        <v>2.9963626079182273</v>
      </c>
      <c r="T158" s="17">
        <f t="shared" si="45"/>
        <v>3.4993838023446262</v>
      </c>
      <c r="U158" s="17">
        <f t="shared" si="45"/>
        <v>3.9999297540518075</v>
      </c>
      <c r="V158" s="17">
        <f t="shared" si="45"/>
        <v>4.4999948632625877</v>
      </c>
    </row>
    <row r="183" spans="1:42" ht="13" x14ac:dyDescent="0.15">
      <c r="A183" s="23" t="s">
        <v>14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7" spans="1:42" ht="13" x14ac:dyDescent="0.15">
      <c r="B187" s="2"/>
      <c r="C187" s="7"/>
    </row>
    <row r="189" spans="1:42" ht="13" x14ac:dyDescent="0.15">
      <c r="A189" s="18"/>
      <c r="B189" s="19" t="s">
        <v>1</v>
      </c>
      <c r="C189" s="20">
        <v>-4</v>
      </c>
      <c r="D189" s="20">
        <f>C189+0.25</f>
        <v>-3.75</v>
      </c>
      <c r="E189" s="20">
        <f>D189+0.25</f>
        <v>-3.5</v>
      </c>
      <c r="F189" s="20">
        <f>E189+0.25</f>
        <v>-3.25</v>
      </c>
      <c r="G189" s="20">
        <f>F189+0.25</f>
        <v>-3</v>
      </c>
      <c r="H189" s="20">
        <f>G189+0.25</f>
        <v>-2.75</v>
      </c>
      <c r="I189" s="20">
        <f>H189+0.25</f>
        <v>-2.5</v>
      </c>
      <c r="J189" s="20">
        <f>I189+0.25</f>
        <v>-2.25</v>
      </c>
      <c r="K189" s="20">
        <f>J189+0.25</f>
        <v>-2</v>
      </c>
      <c r="L189" s="20">
        <f>K189+0.25</f>
        <v>-1.75</v>
      </c>
      <c r="M189" s="20">
        <f>L189+0.25</f>
        <v>-1.5</v>
      </c>
      <c r="N189" s="20">
        <f>M189+0.25</f>
        <v>-1.25</v>
      </c>
      <c r="O189" s="20">
        <f>N189+0.25</f>
        <v>-1</v>
      </c>
      <c r="P189" s="20">
        <f>O189+0.25</f>
        <v>-0.75</v>
      </c>
      <c r="Q189" s="20">
        <f>P189+0.25</f>
        <v>-0.5</v>
      </c>
      <c r="R189" s="20">
        <f>Q189+0.25</f>
        <v>-0.25</v>
      </c>
      <c r="S189" s="20">
        <f>R189+0.25</f>
        <v>0</v>
      </c>
      <c r="T189" s="20">
        <f>S189+0.25</f>
        <v>0.25</v>
      </c>
      <c r="U189" s="20">
        <f>T189+0.25</f>
        <v>0.5</v>
      </c>
      <c r="V189" s="20">
        <f>U189+0.25</f>
        <v>0.75</v>
      </c>
      <c r="W189" s="18">
        <f>V189+0.25</f>
        <v>1</v>
      </c>
      <c r="X189" s="18">
        <f>W189+0.25</f>
        <v>1.25</v>
      </c>
      <c r="Y189" s="18">
        <f>X189+0.25</f>
        <v>1.5</v>
      </c>
      <c r="Z189" s="18">
        <f>Y189+0.25</f>
        <v>1.75</v>
      </c>
      <c r="AA189" s="18">
        <f>Z189+0.25</f>
        <v>2</v>
      </c>
      <c r="AB189" s="18">
        <f>AA189+0.25</f>
        <v>2.25</v>
      </c>
      <c r="AC189" s="18">
        <f>AB189+0.25</f>
        <v>2.5</v>
      </c>
      <c r="AD189" s="18">
        <f>AC189+0.25</f>
        <v>2.75</v>
      </c>
      <c r="AE189" s="18">
        <f>AD189+0.25</f>
        <v>3</v>
      </c>
      <c r="AF189" s="18">
        <f>AE189+0.25</f>
        <v>3.25</v>
      </c>
      <c r="AG189" s="18">
        <f>AF189+0.25</f>
        <v>3.5</v>
      </c>
      <c r="AH189" s="18">
        <f>AG189+0.25</f>
        <v>3.75</v>
      </c>
      <c r="AI189" s="18">
        <f>AH189+0.25</f>
        <v>4</v>
      </c>
      <c r="AJ189" s="18"/>
      <c r="AK189" s="18"/>
      <c r="AL189" s="18"/>
      <c r="AM189" s="18"/>
      <c r="AN189" s="18"/>
      <c r="AO189" s="18"/>
      <c r="AP189" s="18"/>
    </row>
    <row r="190" spans="1:42" ht="13" x14ac:dyDescent="0.15">
      <c r="B190" s="4" t="s">
        <v>2</v>
      </c>
      <c r="C190" s="6">
        <f t="shared" ref="C190:AI190" si="46">MAX(0, C189)</f>
        <v>0</v>
      </c>
      <c r="D190" s="6">
        <f t="shared" si="46"/>
        <v>0</v>
      </c>
      <c r="E190" s="6">
        <f t="shared" si="46"/>
        <v>0</v>
      </c>
      <c r="F190" s="6">
        <f t="shared" si="46"/>
        <v>0</v>
      </c>
      <c r="G190" s="6">
        <f t="shared" si="46"/>
        <v>0</v>
      </c>
      <c r="H190" s="6">
        <f t="shared" si="46"/>
        <v>0</v>
      </c>
      <c r="I190" s="6">
        <f t="shared" si="46"/>
        <v>0</v>
      </c>
      <c r="J190" s="6">
        <f t="shared" si="46"/>
        <v>0</v>
      </c>
      <c r="K190" s="6">
        <f t="shared" si="46"/>
        <v>0</v>
      </c>
      <c r="L190" s="6">
        <f t="shared" si="46"/>
        <v>0</v>
      </c>
      <c r="M190" s="6">
        <f t="shared" si="46"/>
        <v>0</v>
      </c>
      <c r="N190" s="6">
        <f t="shared" si="46"/>
        <v>0</v>
      </c>
      <c r="O190" s="6">
        <f t="shared" si="46"/>
        <v>0</v>
      </c>
      <c r="P190" s="6">
        <f t="shared" si="46"/>
        <v>0</v>
      </c>
      <c r="Q190" s="6">
        <f t="shared" si="46"/>
        <v>0</v>
      </c>
      <c r="R190" s="6">
        <f t="shared" si="46"/>
        <v>0</v>
      </c>
      <c r="S190" s="6">
        <f t="shared" si="46"/>
        <v>0</v>
      </c>
      <c r="T190" s="6">
        <f t="shared" si="46"/>
        <v>0.25</v>
      </c>
      <c r="U190" s="6">
        <f t="shared" si="46"/>
        <v>0.5</v>
      </c>
      <c r="V190" s="6">
        <f t="shared" si="46"/>
        <v>0.75</v>
      </c>
      <c r="W190" s="6">
        <f t="shared" si="46"/>
        <v>1</v>
      </c>
      <c r="X190" s="6">
        <f t="shared" si="46"/>
        <v>1.25</v>
      </c>
      <c r="Y190" s="6">
        <f t="shared" si="46"/>
        <v>1.5</v>
      </c>
      <c r="Z190" s="6">
        <f t="shared" si="46"/>
        <v>1.75</v>
      </c>
      <c r="AA190" s="6">
        <f t="shared" si="46"/>
        <v>2</v>
      </c>
      <c r="AB190" s="6">
        <f t="shared" si="46"/>
        <v>2.25</v>
      </c>
      <c r="AC190" s="6">
        <f t="shared" si="46"/>
        <v>2.5</v>
      </c>
      <c r="AD190" s="6">
        <f t="shared" si="46"/>
        <v>2.75</v>
      </c>
      <c r="AE190" s="6">
        <f t="shared" si="46"/>
        <v>3</v>
      </c>
      <c r="AF190" s="6">
        <f t="shared" si="46"/>
        <v>3.25</v>
      </c>
      <c r="AG190" s="6">
        <f t="shared" si="46"/>
        <v>3.5</v>
      </c>
      <c r="AH190" s="6">
        <f t="shared" si="46"/>
        <v>3.75</v>
      </c>
      <c r="AI190" s="6">
        <f t="shared" si="46"/>
        <v>4</v>
      </c>
    </row>
    <row r="191" spans="1:42" ht="13" x14ac:dyDescent="0.15">
      <c r="B191" s="8" t="s">
        <v>8</v>
      </c>
      <c r="C191" s="6">
        <f t="shared" ref="C191:AI191" si="47">MAX(0, C190)^2</f>
        <v>0</v>
      </c>
      <c r="D191" s="6">
        <f t="shared" si="47"/>
        <v>0</v>
      </c>
      <c r="E191" s="6">
        <f t="shared" si="47"/>
        <v>0</v>
      </c>
      <c r="F191" s="6">
        <f t="shared" si="47"/>
        <v>0</v>
      </c>
      <c r="G191" s="6">
        <f t="shared" si="47"/>
        <v>0</v>
      </c>
      <c r="H191" s="6">
        <f t="shared" si="47"/>
        <v>0</v>
      </c>
      <c r="I191" s="6">
        <f t="shared" si="47"/>
        <v>0</v>
      </c>
      <c r="J191" s="6">
        <f t="shared" si="47"/>
        <v>0</v>
      </c>
      <c r="K191" s="6">
        <f t="shared" si="47"/>
        <v>0</v>
      </c>
      <c r="L191" s="6">
        <f t="shared" si="47"/>
        <v>0</v>
      </c>
      <c r="M191" s="6">
        <f t="shared" si="47"/>
        <v>0</v>
      </c>
      <c r="N191" s="6">
        <f t="shared" si="47"/>
        <v>0</v>
      </c>
      <c r="O191" s="6">
        <f t="shared" si="47"/>
        <v>0</v>
      </c>
      <c r="P191" s="6">
        <f t="shared" si="47"/>
        <v>0</v>
      </c>
      <c r="Q191" s="6">
        <f t="shared" si="47"/>
        <v>0</v>
      </c>
      <c r="R191" s="6">
        <f t="shared" si="47"/>
        <v>0</v>
      </c>
      <c r="S191" s="6">
        <f t="shared" si="47"/>
        <v>0</v>
      </c>
      <c r="T191" s="6">
        <f t="shared" si="47"/>
        <v>6.25E-2</v>
      </c>
      <c r="U191" s="6">
        <f t="shared" si="47"/>
        <v>0.25</v>
      </c>
      <c r="V191" s="6">
        <f t="shared" si="47"/>
        <v>0.5625</v>
      </c>
      <c r="W191" s="6">
        <f t="shared" si="47"/>
        <v>1</v>
      </c>
      <c r="X191" s="6">
        <f t="shared" si="47"/>
        <v>1.5625</v>
      </c>
      <c r="Y191" s="6">
        <f t="shared" si="47"/>
        <v>2.25</v>
      </c>
      <c r="Z191" s="6">
        <f t="shared" si="47"/>
        <v>3.0625</v>
      </c>
      <c r="AA191" s="6">
        <f t="shared" si="47"/>
        <v>4</v>
      </c>
      <c r="AB191" s="6">
        <f t="shared" si="47"/>
        <v>5.0625</v>
      </c>
      <c r="AC191" s="6">
        <f t="shared" si="47"/>
        <v>6.25</v>
      </c>
      <c r="AD191" s="6">
        <f t="shared" si="47"/>
        <v>7.5625</v>
      </c>
      <c r="AE191" s="6">
        <f t="shared" si="47"/>
        <v>9</v>
      </c>
      <c r="AF191" s="6">
        <f t="shared" si="47"/>
        <v>10.5625</v>
      </c>
      <c r="AG191" s="6">
        <f t="shared" si="47"/>
        <v>12.25</v>
      </c>
      <c r="AH191" s="6">
        <f t="shared" si="47"/>
        <v>14.0625</v>
      </c>
      <c r="AI191" s="6">
        <f t="shared" si="47"/>
        <v>16</v>
      </c>
    </row>
    <row r="192" spans="1:42" ht="13" x14ac:dyDescent="0.15">
      <c r="B192" s="8" t="s">
        <v>11</v>
      </c>
      <c r="C192" s="6">
        <f t="shared" ref="C192:AI192" si="48">IF(C189&gt;0,C189, C189*$C$121)</f>
        <v>-0.8</v>
      </c>
      <c r="D192" s="6">
        <f t="shared" si="48"/>
        <v>-0.75</v>
      </c>
      <c r="E192" s="6">
        <f t="shared" si="48"/>
        <v>-0.70000000000000007</v>
      </c>
      <c r="F192" s="6">
        <f t="shared" si="48"/>
        <v>-0.65</v>
      </c>
      <c r="G192" s="6">
        <f t="shared" si="48"/>
        <v>-0.60000000000000009</v>
      </c>
      <c r="H192" s="6">
        <f t="shared" si="48"/>
        <v>-0.55000000000000004</v>
      </c>
      <c r="I192" s="6">
        <f t="shared" si="48"/>
        <v>-0.5</v>
      </c>
      <c r="J192" s="6">
        <f t="shared" si="48"/>
        <v>-0.45</v>
      </c>
      <c r="K192" s="6">
        <f t="shared" si="48"/>
        <v>-0.4</v>
      </c>
      <c r="L192" s="6">
        <f t="shared" si="48"/>
        <v>-0.35000000000000003</v>
      </c>
      <c r="M192" s="6">
        <f t="shared" si="48"/>
        <v>-0.30000000000000004</v>
      </c>
      <c r="N192" s="6">
        <f t="shared" si="48"/>
        <v>-0.25</v>
      </c>
      <c r="O192" s="6">
        <f t="shared" si="48"/>
        <v>-0.2</v>
      </c>
      <c r="P192" s="6">
        <f t="shared" si="48"/>
        <v>-0.15000000000000002</v>
      </c>
      <c r="Q192" s="6">
        <f t="shared" si="48"/>
        <v>-0.1</v>
      </c>
      <c r="R192" s="6">
        <f t="shared" si="48"/>
        <v>-0.05</v>
      </c>
      <c r="S192" s="6">
        <f t="shared" si="48"/>
        <v>0</v>
      </c>
      <c r="T192" s="6">
        <f t="shared" si="48"/>
        <v>0.25</v>
      </c>
      <c r="U192" s="6">
        <f t="shared" si="48"/>
        <v>0.5</v>
      </c>
      <c r="V192" s="6">
        <f t="shared" si="48"/>
        <v>0.75</v>
      </c>
      <c r="W192" s="6">
        <f t="shared" si="48"/>
        <v>1</v>
      </c>
      <c r="X192" s="6">
        <f t="shared" si="48"/>
        <v>1.25</v>
      </c>
      <c r="Y192" s="6">
        <f t="shared" si="48"/>
        <v>1.5</v>
      </c>
      <c r="Z192" s="6">
        <f t="shared" si="48"/>
        <v>1.75</v>
      </c>
      <c r="AA192" s="6">
        <f t="shared" si="48"/>
        <v>2</v>
      </c>
      <c r="AB192" s="6">
        <f t="shared" si="48"/>
        <v>2.25</v>
      </c>
      <c r="AC192" s="6">
        <f t="shared" si="48"/>
        <v>2.5</v>
      </c>
      <c r="AD192" s="6">
        <f t="shared" si="48"/>
        <v>2.75</v>
      </c>
      <c r="AE192" s="6">
        <f t="shared" si="48"/>
        <v>3</v>
      </c>
      <c r="AF192" s="6">
        <f t="shared" si="48"/>
        <v>3.25</v>
      </c>
      <c r="AG192" s="6">
        <f t="shared" si="48"/>
        <v>3.5</v>
      </c>
      <c r="AH192" s="6">
        <f t="shared" si="48"/>
        <v>3.75</v>
      </c>
      <c r="AI192" s="6">
        <f t="shared" si="48"/>
        <v>4</v>
      </c>
    </row>
    <row r="193" spans="2:35" ht="13" x14ac:dyDescent="0.15">
      <c r="B193" s="4" t="s">
        <v>13</v>
      </c>
      <c r="C193" s="17">
        <f t="shared" ref="C193:AI193" si="49">0.5 * C191* (1 + TANH(SQRT(2/PI()) * (C191 + 0.044715 * C191^3)))</f>
        <v>0</v>
      </c>
      <c r="D193" s="17">
        <f t="shared" si="49"/>
        <v>0</v>
      </c>
      <c r="E193" s="17">
        <f t="shared" si="49"/>
        <v>0</v>
      </c>
      <c r="F193" s="17">
        <f t="shared" si="49"/>
        <v>0</v>
      </c>
      <c r="G193" s="17">
        <f t="shared" si="49"/>
        <v>0</v>
      </c>
      <c r="H193" s="17">
        <f t="shared" si="49"/>
        <v>0</v>
      </c>
      <c r="I193" s="17">
        <f t="shared" si="49"/>
        <v>0</v>
      </c>
      <c r="J193" s="17">
        <f t="shared" si="49"/>
        <v>0</v>
      </c>
      <c r="K193" s="17">
        <f t="shared" si="49"/>
        <v>0</v>
      </c>
      <c r="L193" s="17">
        <f t="shared" si="49"/>
        <v>0</v>
      </c>
      <c r="M193" s="17">
        <f t="shared" si="49"/>
        <v>0</v>
      </c>
      <c r="N193" s="17">
        <f t="shared" si="49"/>
        <v>0</v>
      </c>
      <c r="O193" s="17">
        <f t="shared" si="49"/>
        <v>0</v>
      </c>
      <c r="P193" s="17">
        <f t="shared" si="49"/>
        <v>0</v>
      </c>
      <c r="Q193" s="17">
        <f t="shared" si="49"/>
        <v>0</v>
      </c>
      <c r="R193" s="17">
        <f t="shared" si="49"/>
        <v>0</v>
      </c>
      <c r="S193" s="17">
        <f t="shared" si="49"/>
        <v>0</v>
      </c>
      <c r="T193" s="17">
        <f t="shared" si="49"/>
        <v>3.2807349306281458E-2</v>
      </c>
      <c r="U193" s="17">
        <f t="shared" si="49"/>
        <v>0.149675350701685</v>
      </c>
      <c r="V193" s="17">
        <f t="shared" si="49"/>
        <v>0.40109939442952053</v>
      </c>
      <c r="W193" s="17">
        <f t="shared" si="49"/>
        <v>0.84119199060827676</v>
      </c>
      <c r="X193" s="17">
        <f t="shared" si="49"/>
        <v>1.4699806126108916</v>
      </c>
      <c r="Y193" s="17">
        <f t="shared" si="49"/>
        <v>2.2227986701027111</v>
      </c>
      <c r="Z193" s="17">
        <f t="shared" si="49"/>
        <v>3.0595273449625573</v>
      </c>
      <c r="AA193" s="17">
        <f t="shared" si="49"/>
        <v>3.9999297540518075</v>
      </c>
      <c r="AB193" s="17">
        <f t="shared" si="49"/>
        <v>5.0624998503171144</v>
      </c>
      <c r="AC193" s="17">
        <f t="shared" si="49"/>
        <v>6.2499999999920801</v>
      </c>
      <c r="AD193" s="17">
        <f t="shared" si="49"/>
        <v>7.5625</v>
      </c>
      <c r="AE193" s="17">
        <f t="shared" si="49"/>
        <v>9</v>
      </c>
      <c r="AF193" s="17">
        <f t="shared" si="49"/>
        <v>10.5625</v>
      </c>
      <c r="AG193" s="17">
        <f t="shared" si="49"/>
        <v>12.25</v>
      </c>
      <c r="AH193" s="17">
        <f t="shared" si="49"/>
        <v>14.0625</v>
      </c>
      <c r="AI193" s="17">
        <f t="shared" si="49"/>
        <v>16</v>
      </c>
    </row>
    <row r="194" spans="2:35" ht="13" x14ac:dyDescent="0.15">
      <c r="B194" s="8" t="s">
        <v>15</v>
      </c>
      <c r="C194" s="17">
        <f t="shared" ref="C194:AI194" si="50">TANH(C189)</f>
        <v>-0.99932929973906692</v>
      </c>
      <c r="D194" s="17">
        <f t="shared" si="50"/>
        <v>-0.99889444272615269</v>
      </c>
      <c r="E194" s="17">
        <f t="shared" si="50"/>
        <v>-0.99817789761119868</v>
      </c>
      <c r="F194" s="17">
        <f t="shared" si="50"/>
        <v>-0.99699763548652609</v>
      </c>
      <c r="G194" s="17">
        <f t="shared" si="50"/>
        <v>-0.99505475368673058</v>
      </c>
      <c r="H194" s="17">
        <f t="shared" si="50"/>
        <v>-0.99185972456820781</v>
      </c>
      <c r="I194" s="17">
        <f t="shared" si="50"/>
        <v>-0.98661429815143042</v>
      </c>
      <c r="J194" s="17">
        <f t="shared" si="50"/>
        <v>-0.97802611473881362</v>
      </c>
      <c r="K194" s="17">
        <f t="shared" si="50"/>
        <v>-0.96402758007581701</v>
      </c>
      <c r="L194" s="17">
        <f t="shared" si="50"/>
        <v>-0.94137553849728728</v>
      </c>
      <c r="M194" s="17">
        <f t="shared" si="50"/>
        <v>-0.9051482536448664</v>
      </c>
      <c r="N194" s="17">
        <f t="shared" si="50"/>
        <v>-0.84828363995751288</v>
      </c>
      <c r="O194" s="17">
        <f t="shared" si="50"/>
        <v>-0.76159415595576485</v>
      </c>
      <c r="P194" s="17">
        <f t="shared" si="50"/>
        <v>-0.6351489523872873</v>
      </c>
      <c r="Q194" s="17">
        <f t="shared" si="50"/>
        <v>-0.46211715726000979</v>
      </c>
      <c r="R194" s="17">
        <f t="shared" si="50"/>
        <v>-0.24491866240370913</v>
      </c>
      <c r="S194" s="17">
        <f t="shared" si="50"/>
        <v>0</v>
      </c>
      <c r="T194" s="17">
        <f t="shared" si="50"/>
        <v>0.24491866240370913</v>
      </c>
      <c r="U194" s="17">
        <f t="shared" si="50"/>
        <v>0.46211715726000979</v>
      </c>
      <c r="V194" s="17">
        <f t="shared" si="50"/>
        <v>0.6351489523872873</v>
      </c>
      <c r="W194" s="17">
        <f t="shared" si="50"/>
        <v>0.76159415595576485</v>
      </c>
      <c r="X194" s="17">
        <f t="shared" si="50"/>
        <v>0.84828363995751288</v>
      </c>
      <c r="Y194" s="17">
        <f t="shared" si="50"/>
        <v>0.9051482536448664</v>
      </c>
      <c r="Z194" s="17">
        <f t="shared" si="50"/>
        <v>0.94137553849728728</v>
      </c>
      <c r="AA194" s="17">
        <f t="shared" si="50"/>
        <v>0.96402758007581701</v>
      </c>
      <c r="AB194" s="17">
        <f t="shared" si="50"/>
        <v>0.97802611473881362</v>
      </c>
      <c r="AC194" s="17">
        <f t="shared" si="50"/>
        <v>0.98661429815143042</v>
      </c>
      <c r="AD194" s="17">
        <f t="shared" si="50"/>
        <v>0.99185972456820781</v>
      </c>
      <c r="AE194" s="17">
        <f t="shared" si="50"/>
        <v>0.99505475368673058</v>
      </c>
      <c r="AF194" s="17">
        <f t="shared" si="50"/>
        <v>0.99699763548652609</v>
      </c>
      <c r="AG194" s="17">
        <f t="shared" si="50"/>
        <v>0.99817789761119868</v>
      </c>
      <c r="AH194" s="17">
        <f t="shared" si="50"/>
        <v>0.99889444272615269</v>
      </c>
      <c r="AI194" s="17">
        <f t="shared" si="50"/>
        <v>0.99932929973906692</v>
      </c>
    </row>
    <row r="195" spans="2:35" ht="13" x14ac:dyDescent="0.15">
      <c r="B195" s="8" t="s">
        <v>16</v>
      </c>
      <c r="C195" s="17">
        <f t="shared" ref="C195:AI195" si="51">1/(1+EXP(-C189))</f>
        <v>1.7986209962091559E-2</v>
      </c>
      <c r="D195" s="17">
        <f t="shared" si="51"/>
        <v>2.2977369910025615E-2</v>
      </c>
      <c r="E195" s="17">
        <f t="shared" si="51"/>
        <v>2.9312230751356319E-2</v>
      </c>
      <c r="F195" s="17">
        <f t="shared" si="51"/>
        <v>3.7326887344129457E-2</v>
      </c>
      <c r="G195" s="17">
        <f t="shared" si="51"/>
        <v>4.7425873177566781E-2</v>
      </c>
      <c r="H195" s="17">
        <f t="shared" si="51"/>
        <v>6.0086650174007626E-2</v>
      </c>
      <c r="I195" s="17">
        <f t="shared" si="51"/>
        <v>7.5858180021243546E-2</v>
      </c>
      <c r="J195" s="17">
        <f t="shared" si="51"/>
        <v>9.534946489910949E-2</v>
      </c>
      <c r="K195" s="17">
        <f t="shared" si="51"/>
        <v>0.11920292202211755</v>
      </c>
      <c r="L195" s="17">
        <f t="shared" si="51"/>
        <v>0.14804719803168948</v>
      </c>
      <c r="M195" s="17">
        <f t="shared" si="51"/>
        <v>0.18242552380635635</v>
      </c>
      <c r="N195" s="17">
        <f t="shared" si="51"/>
        <v>0.22270013882530884</v>
      </c>
      <c r="O195" s="17">
        <f t="shared" si="51"/>
        <v>0.2689414213699951</v>
      </c>
      <c r="P195" s="17">
        <f t="shared" si="51"/>
        <v>0.32082130082460703</v>
      </c>
      <c r="Q195" s="17">
        <f t="shared" si="51"/>
        <v>0.37754066879814541</v>
      </c>
      <c r="R195" s="17">
        <f t="shared" si="51"/>
        <v>0.43782349911420193</v>
      </c>
      <c r="S195" s="17">
        <f t="shared" si="51"/>
        <v>0.5</v>
      </c>
      <c r="T195" s="17">
        <f t="shared" si="51"/>
        <v>0.56217650088579807</v>
      </c>
      <c r="U195" s="17">
        <f t="shared" si="51"/>
        <v>0.62245933120185459</v>
      </c>
      <c r="V195" s="17">
        <f t="shared" si="51"/>
        <v>0.67917869917539297</v>
      </c>
      <c r="W195" s="17">
        <f t="shared" si="51"/>
        <v>0.7310585786300049</v>
      </c>
      <c r="X195" s="17">
        <f t="shared" si="51"/>
        <v>0.77729986117469108</v>
      </c>
      <c r="Y195" s="17">
        <f t="shared" si="51"/>
        <v>0.81757447619364365</v>
      </c>
      <c r="Z195" s="17">
        <f t="shared" si="51"/>
        <v>0.85195280196831058</v>
      </c>
      <c r="AA195" s="17">
        <f t="shared" si="51"/>
        <v>0.88079707797788231</v>
      </c>
      <c r="AB195" s="17">
        <f t="shared" si="51"/>
        <v>0.90465053510089055</v>
      </c>
      <c r="AC195" s="17">
        <f t="shared" si="51"/>
        <v>0.92414181997875655</v>
      </c>
      <c r="AD195" s="17">
        <f t="shared" si="51"/>
        <v>0.93991334982599239</v>
      </c>
      <c r="AE195" s="17">
        <f t="shared" si="51"/>
        <v>0.95257412682243336</v>
      </c>
      <c r="AF195" s="17">
        <f t="shared" si="51"/>
        <v>0.96267311265587063</v>
      </c>
      <c r="AG195" s="17">
        <f t="shared" si="51"/>
        <v>0.97068776924864364</v>
      </c>
      <c r="AH195" s="17">
        <f t="shared" si="51"/>
        <v>0.97702263008997436</v>
      </c>
      <c r="AI195" s="17">
        <f t="shared" si="51"/>
        <v>0.98201379003790845</v>
      </c>
    </row>
    <row r="196" spans="2:35" ht="13" x14ac:dyDescent="0.15">
      <c r="B196" s="8" t="s">
        <v>17</v>
      </c>
      <c r="C196" s="17">
        <f t="shared" ref="C196:AI196" si="52">C189/(1+EXP(-C189))</f>
        <v>-7.1944839848366235E-2</v>
      </c>
      <c r="D196" s="17">
        <f t="shared" si="52"/>
        <v>-8.616513716259605E-2</v>
      </c>
      <c r="E196" s="17">
        <f t="shared" si="52"/>
        <v>-0.10259280762974712</v>
      </c>
      <c r="F196" s="17">
        <f t="shared" si="52"/>
        <v>-0.12131238386842075</v>
      </c>
      <c r="G196" s="17">
        <f t="shared" si="52"/>
        <v>-0.14227761953270035</v>
      </c>
      <c r="H196" s="17">
        <f t="shared" si="52"/>
        <v>-0.16523828797852097</v>
      </c>
      <c r="I196" s="17">
        <f t="shared" si="52"/>
        <v>-0.18964545005310887</v>
      </c>
      <c r="J196" s="17">
        <f t="shared" si="52"/>
        <v>-0.21453629602299634</v>
      </c>
      <c r="K196" s="17">
        <f t="shared" si="52"/>
        <v>-0.23840584404423509</v>
      </c>
      <c r="L196" s="17">
        <f t="shared" si="52"/>
        <v>-0.25908259655545657</v>
      </c>
      <c r="M196" s="17">
        <f t="shared" si="52"/>
        <v>-0.27363828570953452</v>
      </c>
      <c r="N196" s="17">
        <f t="shared" si="52"/>
        <v>-0.27837517353163604</v>
      </c>
      <c r="O196" s="17">
        <f t="shared" si="52"/>
        <v>-0.2689414213699951</v>
      </c>
      <c r="P196" s="17">
        <f t="shared" si="52"/>
        <v>-0.24061597561845527</v>
      </c>
      <c r="Q196" s="17">
        <f t="shared" si="52"/>
        <v>-0.1887703343990727</v>
      </c>
      <c r="R196" s="17">
        <f t="shared" si="52"/>
        <v>-0.10945587477855048</v>
      </c>
      <c r="S196" s="17">
        <f t="shared" si="52"/>
        <v>0</v>
      </c>
      <c r="T196" s="17">
        <f t="shared" si="52"/>
        <v>0.14054412522144952</v>
      </c>
      <c r="U196" s="17">
        <f t="shared" si="52"/>
        <v>0.3112296656009273</v>
      </c>
      <c r="V196" s="17">
        <f t="shared" si="52"/>
        <v>0.50938402438154473</v>
      </c>
      <c r="W196" s="17">
        <f t="shared" si="52"/>
        <v>0.7310585786300049</v>
      </c>
      <c r="X196" s="17">
        <f t="shared" si="52"/>
        <v>0.9716248264683639</v>
      </c>
      <c r="Y196" s="17">
        <f t="shared" si="52"/>
        <v>1.2263617142904655</v>
      </c>
      <c r="Z196" s="17">
        <f t="shared" si="52"/>
        <v>1.4909174034445436</v>
      </c>
      <c r="AA196" s="17">
        <f t="shared" si="52"/>
        <v>1.7615941559557646</v>
      </c>
      <c r="AB196" s="17">
        <f t="shared" si="52"/>
        <v>2.0354637039770038</v>
      </c>
      <c r="AC196" s="17">
        <f t="shared" si="52"/>
        <v>2.3103545499468914</v>
      </c>
      <c r="AD196" s="17">
        <f t="shared" si="52"/>
        <v>2.584761712021479</v>
      </c>
      <c r="AE196" s="17">
        <f t="shared" si="52"/>
        <v>2.8577223804672998</v>
      </c>
      <c r="AF196" s="17">
        <f t="shared" si="52"/>
        <v>3.1286876161315793</v>
      </c>
      <c r="AG196" s="17">
        <f t="shared" si="52"/>
        <v>3.3974071923702525</v>
      </c>
      <c r="AH196" s="17">
        <f t="shared" si="52"/>
        <v>3.6638348628374038</v>
      </c>
      <c r="AI196" s="17">
        <f t="shared" si="52"/>
        <v>3.9280551601516338</v>
      </c>
    </row>
    <row r="197" spans="2:35" ht="13" x14ac:dyDescent="0.15">
      <c r="B197" s="8" t="s">
        <v>18</v>
      </c>
      <c r="C197" s="17">
        <f t="array" ref="C197:AI197">(C189:AI189) *
  ((C189:AI189) / (1 + EXP(-(C189:AI189))))</f>
        <v>0.28777935939346494</v>
      </c>
      <c r="D197" s="17">
        <v>0.3231192643597352</v>
      </c>
      <c r="E197" s="17">
        <v>0.35907482670411495</v>
      </c>
      <c r="F197" s="17">
        <v>0.39426524757236742</v>
      </c>
      <c r="G197" s="17">
        <v>0.42683285859810105</v>
      </c>
      <c r="H197" s="17">
        <v>0.45440529194093265</v>
      </c>
      <c r="I197" s="17">
        <v>0.47411362513277217</v>
      </c>
      <c r="J197" s="17">
        <v>0.48270666605174178</v>
      </c>
      <c r="K197" s="17">
        <v>0.47681168808847019</v>
      </c>
      <c r="L197" s="17">
        <v>0.45339454397204898</v>
      </c>
      <c r="M197" s="17">
        <v>0.41045742856430179</v>
      </c>
      <c r="N197" s="17">
        <v>0.34796896691454504</v>
      </c>
      <c r="O197" s="17">
        <v>0.2689414213699951</v>
      </c>
      <c r="P197" s="17">
        <v>0.18046198171384145</v>
      </c>
      <c r="Q197" s="17">
        <v>9.4385167199536352E-2</v>
      </c>
      <c r="R197" s="17">
        <v>2.7363968694637621E-2</v>
      </c>
      <c r="S197" s="17">
        <v>0</v>
      </c>
      <c r="T197" s="17">
        <v>3.5136031305362379E-2</v>
      </c>
      <c r="U197" s="17">
        <v>0.15561483280046365</v>
      </c>
      <c r="V197" s="17">
        <v>0.38203801828615858</v>
      </c>
      <c r="W197" s="17">
        <v>0.7310585786300049</v>
      </c>
      <c r="X197" s="17">
        <v>1.2145310330854548</v>
      </c>
      <c r="Y197" s="17">
        <v>1.8395425714356981</v>
      </c>
      <c r="Z197" s="17">
        <v>2.6091054560279514</v>
      </c>
      <c r="AA197" s="17">
        <v>3.5231883119115293</v>
      </c>
      <c r="AB197" s="17">
        <v>4.5797933339482588</v>
      </c>
      <c r="AC197" s="17">
        <v>5.7758863748672287</v>
      </c>
      <c r="AD197" s="17">
        <v>7.1080947080590668</v>
      </c>
      <c r="AE197" s="17">
        <v>8.5731671414018997</v>
      </c>
      <c r="AF197" s="17">
        <v>10.168234752427633</v>
      </c>
      <c r="AG197" s="17">
        <v>11.890925173295884</v>
      </c>
      <c r="AH197" s="17">
        <v>13.739380735640264</v>
      </c>
      <c r="AI197" s="17">
        <v>15.712220640606535</v>
      </c>
    </row>
    <row r="200" spans="2:35" ht="13" x14ac:dyDescent="0.15">
      <c r="V200" s="7" t="s">
        <v>26</v>
      </c>
    </row>
    <row r="227" spans="1:42" ht="13" x14ac:dyDescent="0.15">
      <c r="A227" s="23" t="s">
        <v>22</v>
      </c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9" spans="1:42" ht="13" x14ac:dyDescent="0.15">
      <c r="A229" s="18"/>
      <c r="B229" s="20" t="s">
        <v>1</v>
      </c>
      <c r="C229" s="20">
        <v>-4</v>
      </c>
      <c r="D229" s="20">
        <f>C229+0.25</f>
        <v>-3.75</v>
      </c>
      <c r="E229" s="20">
        <f>D229+0.25</f>
        <v>-3.5</v>
      </c>
      <c r="F229" s="20">
        <f>E229+0.25</f>
        <v>-3.25</v>
      </c>
      <c r="G229" s="20">
        <f>F229+0.25</f>
        <v>-3</v>
      </c>
      <c r="H229" s="20">
        <f>G229+0.25</f>
        <v>-2.75</v>
      </c>
      <c r="I229" s="20">
        <f>H229+0.25</f>
        <v>-2.5</v>
      </c>
      <c r="J229" s="20">
        <f>I229+0.25</f>
        <v>-2.25</v>
      </c>
      <c r="K229" s="20">
        <f>J229+0.25</f>
        <v>-2</v>
      </c>
      <c r="L229" s="20">
        <f>K229+0.25</f>
        <v>-1.75</v>
      </c>
      <c r="M229" s="20">
        <f>L229+0.25</f>
        <v>-1.5</v>
      </c>
      <c r="N229" s="20">
        <f>M229+0.25</f>
        <v>-1.25</v>
      </c>
      <c r="O229" s="20">
        <f>N229+0.25</f>
        <v>-1</v>
      </c>
      <c r="P229" s="20">
        <f>O229+0.25</f>
        <v>-0.75</v>
      </c>
      <c r="Q229" s="20">
        <f>P229+0.25</f>
        <v>-0.5</v>
      </c>
      <c r="R229" s="20">
        <f>Q229+0.25</f>
        <v>-0.25</v>
      </c>
      <c r="S229" s="20">
        <f>R229+0.25</f>
        <v>0</v>
      </c>
      <c r="T229" s="20">
        <f>S229+0.25</f>
        <v>0.25</v>
      </c>
      <c r="U229" s="20">
        <f>T229+0.25</f>
        <v>0.5</v>
      </c>
      <c r="V229" s="20">
        <f>U229+0.25</f>
        <v>0.75</v>
      </c>
      <c r="W229" s="20">
        <f>V229+0.25</f>
        <v>1</v>
      </c>
      <c r="X229" s="20">
        <f>W229+0.25</f>
        <v>1.25</v>
      </c>
      <c r="Y229" s="20">
        <f>X229+0.25</f>
        <v>1.5</v>
      </c>
      <c r="Z229" s="20">
        <f>Y229+0.25</f>
        <v>1.75</v>
      </c>
      <c r="AA229" s="20">
        <f>Z229+0.25</f>
        <v>2</v>
      </c>
      <c r="AB229" s="20">
        <f>AA229+0.25</f>
        <v>2.25</v>
      </c>
      <c r="AC229" s="20">
        <f>AB229+0.25</f>
        <v>2.5</v>
      </c>
      <c r="AD229" s="20">
        <f>AC229+0.25</f>
        <v>2.75</v>
      </c>
      <c r="AE229" s="20">
        <f>AD229+0.25</f>
        <v>3</v>
      </c>
      <c r="AF229" s="20">
        <f>AE229+0.25</f>
        <v>3.25</v>
      </c>
      <c r="AG229" s="20">
        <f>AF229+0.25</f>
        <v>3.5</v>
      </c>
      <c r="AH229" s="20">
        <f>AG229+0.25</f>
        <v>3.75</v>
      </c>
      <c r="AI229" s="20">
        <f>AH229+0.25</f>
        <v>4</v>
      </c>
      <c r="AJ229" s="18"/>
      <c r="AK229" s="18"/>
      <c r="AL229" s="18"/>
      <c r="AM229" s="18"/>
      <c r="AN229" s="18"/>
      <c r="AO229" s="18"/>
      <c r="AP229" s="18"/>
    </row>
    <row r="230" spans="1:42" ht="13" x14ac:dyDescent="0.15">
      <c r="B230" s="22" t="s">
        <v>2</v>
      </c>
      <c r="C230" s="6">
        <f t="shared" ref="C230:AI230" si="53">MAX(0, C229)</f>
        <v>0</v>
      </c>
      <c r="D230" s="6">
        <f t="shared" si="53"/>
        <v>0</v>
      </c>
      <c r="E230" s="6">
        <f t="shared" si="53"/>
        <v>0</v>
      </c>
      <c r="F230" s="6">
        <f t="shared" si="53"/>
        <v>0</v>
      </c>
      <c r="G230" s="6">
        <f t="shared" si="53"/>
        <v>0</v>
      </c>
      <c r="H230" s="6">
        <f t="shared" si="53"/>
        <v>0</v>
      </c>
      <c r="I230" s="6">
        <f t="shared" si="53"/>
        <v>0</v>
      </c>
      <c r="J230" s="6">
        <f t="shared" si="53"/>
        <v>0</v>
      </c>
      <c r="K230" s="6">
        <f t="shared" si="53"/>
        <v>0</v>
      </c>
      <c r="L230" s="6">
        <f t="shared" si="53"/>
        <v>0</v>
      </c>
      <c r="M230" s="6">
        <f t="shared" si="53"/>
        <v>0</v>
      </c>
      <c r="N230" s="6">
        <f t="shared" si="53"/>
        <v>0</v>
      </c>
      <c r="O230" s="6">
        <f t="shared" si="53"/>
        <v>0</v>
      </c>
      <c r="P230" s="6">
        <f t="shared" si="53"/>
        <v>0</v>
      </c>
      <c r="Q230" s="6">
        <f t="shared" si="53"/>
        <v>0</v>
      </c>
      <c r="R230" s="6">
        <f t="shared" si="53"/>
        <v>0</v>
      </c>
      <c r="S230" s="6">
        <f t="shared" si="53"/>
        <v>0</v>
      </c>
      <c r="T230" s="6">
        <f t="shared" si="53"/>
        <v>0.25</v>
      </c>
      <c r="U230" s="6">
        <f t="shared" si="53"/>
        <v>0.5</v>
      </c>
      <c r="V230" s="6">
        <f t="shared" si="53"/>
        <v>0.75</v>
      </c>
      <c r="W230" s="6">
        <f t="shared" si="53"/>
        <v>1</v>
      </c>
      <c r="X230" s="6">
        <f t="shared" si="53"/>
        <v>1.25</v>
      </c>
      <c r="Y230" s="6">
        <f t="shared" si="53"/>
        <v>1.5</v>
      </c>
      <c r="Z230" s="6">
        <f t="shared" si="53"/>
        <v>1.75</v>
      </c>
      <c r="AA230" s="6">
        <f t="shared" si="53"/>
        <v>2</v>
      </c>
      <c r="AB230" s="6">
        <f t="shared" si="53"/>
        <v>2.25</v>
      </c>
      <c r="AC230" s="6">
        <f t="shared" si="53"/>
        <v>2.5</v>
      </c>
      <c r="AD230" s="6">
        <f t="shared" si="53"/>
        <v>2.75</v>
      </c>
      <c r="AE230" s="6">
        <f t="shared" si="53"/>
        <v>3</v>
      </c>
      <c r="AF230" s="6">
        <f t="shared" si="53"/>
        <v>3.25</v>
      </c>
      <c r="AG230" s="6">
        <f t="shared" si="53"/>
        <v>3.5</v>
      </c>
      <c r="AH230" s="6">
        <f t="shared" si="53"/>
        <v>3.75</v>
      </c>
      <c r="AI230" s="6">
        <f t="shared" si="53"/>
        <v>4</v>
      </c>
    </row>
    <row r="231" spans="1:42" ht="13" x14ac:dyDescent="0.15">
      <c r="B231" s="8" t="s">
        <v>23</v>
      </c>
      <c r="C231" s="6">
        <f t="shared" ref="C231:AI231" si="54">MAX(0, -C229)</f>
        <v>4</v>
      </c>
      <c r="D231" s="6">
        <f t="shared" si="54"/>
        <v>3.75</v>
      </c>
      <c r="E231" s="6">
        <f t="shared" si="54"/>
        <v>3.5</v>
      </c>
      <c r="F231" s="6">
        <f t="shared" si="54"/>
        <v>3.25</v>
      </c>
      <c r="G231" s="6">
        <f t="shared" si="54"/>
        <v>3</v>
      </c>
      <c r="H231" s="6">
        <f t="shared" si="54"/>
        <v>2.75</v>
      </c>
      <c r="I231" s="6">
        <f t="shared" si="54"/>
        <v>2.5</v>
      </c>
      <c r="J231" s="6">
        <f t="shared" si="54"/>
        <v>2.25</v>
      </c>
      <c r="K231" s="6">
        <f t="shared" si="54"/>
        <v>2</v>
      </c>
      <c r="L231" s="6">
        <f t="shared" si="54"/>
        <v>1.75</v>
      </c>
      <c r="M231" s="6">
        <f t="shared" si="54"/>
        <v>1.5</v>
      </c>
      <c r="N231" s="6">
        <f t="shared" si="54"/>
        <v>1.25</v>
      </c>
      <c r="O231" s="6">
        <f t="shared" si="54"/>
        <v>1</v>
      </c>
      <c r="P231" s="6">
        <f t="shared" si="54"/>
        <v>0.75</v>
      </c>
      <c r="Q231" s="6">
        <f t="shared" si="54"/>
        <v>0.5</v>
      </c>
      <c r="R231" s="6">
        <f t="shared" si="54"/>
        <v>0.25</v>
      </c>
      <c r="S231" s="6">
        <f t="shared" si="54"/>
        <v>0</v>
      </c>
      <c r="T231" s="6">
        <f t="shared" si="54"/>
        <v>0</v>
      </c>
      <c r="U231" s="6">
        <f t="shared" si="54"/>
        <v>0</v>
      </c>
      <c r="V231" s="6">
        <f t="shared" si="54"/>
        <v>0</v>
      </c>
      <c r="W231" s="6">
        <f t="shared" si="54"/>
        <v>0</v>
      </c>
      <c r="X231" s="6">
        <f t="shared" si="54"/>
        <v>0</v>
      </c>
      <c r="Y231" s="6">
        <f t="shared" si="54"/>
        <v>0</v>
      </c>
      <c r="Z231" s="6">
        <f t="shared" si="54"/>
        <v>0</v>
      </c>
      <c r="AA231" s="6">
        <f t="shared" si="54"/>
        <v>0</v>
      </c>
      <c r="AB231" s="6">
        <f t="shared" si="54"/>
        <v>0</v>
      </c>
      <c r="AC231" s="6">
        <f t="shared" si="54"/>
        <v>0</v>
      </c>
      <c r="AD231" s="6">
        <f t="shared" si="54"/>
        <v>0</v>
      </c>
      <c r="AE231" s="6">
        <f t="shared" si="54"/>
        <v>0</v>
      </c>
      <c r="AF231" s="6">
        <f t="shared" si="54"/>
        <v>0</v>
      </c>
      <c r="AG231" s="6">
        <f t="shared" si="54"/>
        <v>0</v>
      </c>
      <c r="AH231" s="6">
        <f t="shared" si="54"/>
        <v>0</v>
      </c>
      <c r="AI231" s="6">
        <f t="shared" si="54"/>
        <v>0</v>
      </c>
    </row>
    <row r="232" spans="1:42" ht="13" x14ac:dyDescent="0.15">
      <c r="B232" s="22" t="s">
        <v>24</v>
      </c>
      <c r="C232" s="6">
        <f t="shared" ref="C232:AI232" si="55">C230+C231</f>
        <v>4</v>
      </c>
      <c r="D232" s="6">
        <f t="shared" si="55"/>
        <v>3.75</v>
      </c>
      <c r="E232" s="6">
        <f t="shared" si="55"/>
        <v>3.5</v>
      </c>
      <c r="F232" s="6">
        <f t="shared" si="55"/>
        <v>3.25</v>
      </c>
      <c r="G232" s="6">
        <f t="shared" si="55"/>
        <v>3</v>
      </c>
      <c r="H232" s="6">
        <f t="shared" si="55"/>
        <v>2.75</v>
      </c>
      <c r="I232" s="6">
        <f t="shared" si="55"/>
        <v>2.5</v>
      </c>
      <c r="J232" s="6">
        <f t="shared" si="55"/>
        <v>2.25</v>
      </c>
      <c r="K232" s="6">
        <f t="shared" si="55"/>
        <v>2</v>
      </c>
      <c r="L232" s="6">
        <f t="shared" si="55"/>
        <v>1.75</v>
      </c>
      <c r="M232" s="6">
        <f t="shared" si="55"/>
        <v>1.5</v>
      </c>
      <c r="N232" s="6">
        <f t="shared" si="55"/>
        <v>1.25</v>
      </c>
      <c r="O232" s="6">
        <f t="shared" si="55"/>
        <v>1</v>
      </c>
      <c r="P232" s="6">
        <f t="shared" si="55"/>
        <v>0.75</v>
      </c>
      <c r="Q232" s="6">
        <f t="shared" si="55"/>
        <v>0.5</v>
      </c>
      <c r="R232" s="6">
        <f t="shared" si="55"/>
        <v>0.25</v>
      </c>
      <c r="S232" s="6">
        <f t="shared" si="55"/>
        <v>0</v>
      </c>
      <c r="T232" s="6">
        <f t="shared" si="55"/>
        <v>0.25</v>
      </c>
      <c r="U232" s="6">
        <f t="shared" si="55"/>
        <v>0.5</v>
      </c>
      <c r="V232" s="6">
        <f t="shared" si="55"/>
        <v>0.75</v>
      </c>
      <c r="W232" s="6">
        <f t="shared" si="55"/>
        <v>1</v>
      </c>
      <c r="X232" s="6">
        <f t="shared" si="55"/>
        <v>1.25</v>
      </c>
      <c r="Y232" s="6">
        <f t="shared" si="55"/>
        <v>1.5</v>
      </c>
      <c r="Z232" s="6">
        <f t="shared" si="55"/>
        <v>1.75</v>
      </c>
      <c r="AA232" s="6">
        <f t="shared" si="55"/>
        <v>2</v>
      </c>
      <c r="AB232" s="6">
        <f t="shared" si="55"/>
        <v>2.25</v>
      </c>
      <c r="AC232" s="6">
        <f t="shared" si="55"/>
        <v>2.5</v>
      </c>
      <c r="AD232" s="6">
        <f t="shared" si="55"/>
        <v>2.75</v>
      </c>
      <c r="AE232" s="6">
        <f t="shared" si="55"/>
        <v>3</v>
      </c>
      <c r="AF232" s="6">
        <f t="shared" si="55"/>
        <v>3.25</v>
      </c>
      <c r="AG232" s="6">
        <f t="shared" si="55"/>
        <v>3.5</v>
      </c>
      <c r="AH232" s="6">
        <f t="shared" si="55"/>
        <v>3.75</v>
      </c>
      <c r="AI232" s="6">
        <f t="shared" si="55"/>
        <v>4</v>
      </c>
    </row>
  </sheetData>
  <mergeCells count="9">
    <mergeCell ref="A183:Z183"/>
    <mergeCell ref="A227:Z227"/>
    <mergeCell ref="A1:Z1"/>
    <mergeCell ref="A6:Z6"/>
    <mergeCell ref="A11:Z11"/>
    <mergeCell ref="A32:Z32"/>
    <mergeCell ref="A88:Z88"/>
    <mergeCell ref="A117:Z117"/>
    <mergeCell ref="A150:Z150"/>
  </mergeCells>
  <conditionalFormatting sqref="D35:V5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56:V74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 Answers</vt:lpstr>
      <vt:lpstr>w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Yang</cp:lastModifiedBy>
  <dcterms:modified xsi:type="dcterms:W3CDTF">2026-08-30T13:58:29Z</dcterms:modified>
</cp:coreProperties>
</file>