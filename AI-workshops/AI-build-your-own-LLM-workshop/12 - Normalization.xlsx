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<sst xmlns="http://schemas.openxmlformats.org/spreadsheetml/2006/main" count="221" uniqueCount="46">
  <si>
    <t>LayerNorm - (Normalizes across rows)</t>
  </si>
  <si>
    <t>Layer Stats</t>
  </si>
  <si>
    <t>Mean</t>
  </si>
  <si>
    <t>Variance</t>
  </si>
  <si>
    <t>Input</t>
  </si>
  <si>
    <t>Hardcoded values</t>
  </si>
  <si>
    <t>Epsilon</t>
  </si>
  <si>
    <t>Centered</t>
  </si>
  <si>
    <t>(by row)</t>
  </si>
  <si>
    <t>Scaling Learned Values</t>
  </si>
  <si>
    <t>Multiplier</t>
  </si>
  <si>
    <t>Addition</t>
  </si>
  <si>
    <t>LayerNorm</t>
  </si>
  <si>
    <t>BatchNorm - (Normalizes across columns)</t>
  </si>
  <si>
    <t>(by column)</t>
  </si>
  <si>
    <t>BatchNorm</t>
  </si>
  <si>
    <t>RMSNorm - (Normalizes across rows)</t>
  </si>
  <si>
    <t>Mean Sum of Squares</t>
  </si>
  <si>
    <t>SUMSQ(D83:H83)</t>
  </si>
  <si>
    <t>Divide by Mean^2</t>
  </si>
  <si>
    <t>(D83)/($I83+$H$90)</t>
  </si>
  <si>
    <t>RMSNorm</t>
  </si>
  <si>
    <t xml:space="preserve">All normalizations - short versions </t>
  </si>
  <si>
    <t xml:space="preserve">MLP: Growing &amp; Shrinking, ReLU, with Residuals </t>
  </si>
  <si>
    <t>⬇</t>
  </si>
  <si>
    <t>Input @ M1</t>
  </si>
  <si>
    <t>M1</t>
  </si>
  <si>
    <t>(Growing)</t>
  </si>
  <si>
    <t>⬅</t>
  </si>
  <si>
    <t>ReLU</t>
  </si>
  <si>
    <t>M2</t>
  </si>
  <si>
    <t>@ M2</t>
  </si>
  <si>
    <t>(Shrinking)</t>
  </si>
  <si>
    <t>Residual</t>
  </si>
  <si>
    <r>
      <rPr>
        <rFont val="Arial"/>
        <b/>
        <color rgb="FF000000"/>
      </rPr>
      <t>[Exercise]</t>
    </r>
    <r>
      <rPr>
        <rFont val="Arial"/>
        <color rgb="FF000000"/>
      </rPr>
      <t xml:space="preserve"> Note that gradients explode. Numbers are "more red" or "more gren" post residual. </t>
    </r>
  </si>
  <si>
    <t>MLP: Growing &amp; Shrinking w/ Residuals, condensed form</t>
  </si>
  <si>
    <t>Input +</t>
  </si>
  <si>
    <t>(Input @</t>
  </si>
  <si>
    <t>M1 @ M2)</t>
  </si>
  <si>
    <t>MLP: RMS, Post-norm</t>
  </si>
  <si>
    <t>RmsNorm</t>
  </si>
  <si>
    <t>ARRAYFORMULA(LET(x,C212:E214,rms,SQRT(MMULT(x^2,SEQUENCE(3,1,1/3,0))),x/rms))</t>
  </si>
  <si>
    <t>MLP: RMS, Pre-norm</t>
  </si>
  <si>
    <t>ARRAYFORMULA(LET(x,C207:E209,rms,SQRT(MMULT(x^2,SEQUENCE(3,1,1/3,0))),x/rms))</t>
  </si>
  <si>
    <t>RmsNorm +</t>
  </si>
  <si>
    <t>(RmsNorm 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</si>
</sst>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>
      <color theme="0"/>
      <name val="Arial"/>
      <scheme val="minor"/>
    </font>
    <font>
      <b/>
      <sz val="12.0"/>
      <color theme="1"/>
      <name val="Arial"/>
    </font>
    <font/>
    <font>
      <color rgb="FFB7B7B7"/>
      <name val="Arial"/>
    </font>
    <font>
      <b/>
      <sz val="12.0"/>
      <color theme="1"/>
      <name val="Arial"/>
      <scheme val="minor"/>
    </font>
    <font>
      <color rgb="FFFFFFFF"/>
      <name val="Arial"/>
    </font>
    <font>
      <color rgb="FF000000"/>
      <name val="Arial"/>
      <scheme val="minor"/>
    </font>
    <font>
      <color rgb="FFCCCCCC"/>
      <name val="Arial"/>
      <scheme val="minor"/>
    </font>
  </fonts>
  <fills count="4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0E6D3"/>
        <bgColor rgb="FFC0E6D3"/>
      </patternFill>
    </fill>
    <fill>
      <patternFill patternType="solid">
        <fgColor rgb="FFEFF9F4"/>
        <bgColor rgb="FFEFF9F4"/>
      </patternFill>
    </fill>
    <fill>
      <patternFill patternType="solid">
        <fgColor rgb="FF81CCA7"/>
        <bgColor rgb="FF81CCA7"/>
      </patternFill>
    </fill>
    <fill>
      <patternFill patternType="solid">
        <fgColor rgb="FF69C397"/>
        <bgColor rgb="FF69C397"/>
      </patternFill>
    </fill>
    <fill>
      <patternFill patternType="solid">
        <fgColor rgb="FFD7EFE4"/>
        <bgColor rgb="FFD7EFE4"/>
      </patternFill>
    </fill>
    <fill>
      <patternFill patternType="solid">
        <fgColor rgb="FFCCEBDC"/>
        <bgColor rgb="FFCCEBDC"/>
      </patternFill>
    </fill>
    <fill>
      <patternFill patternType="solid">
        <fgColor rgb="FF75C89F"/>
        <bgColor rgb="FF75C89F"/>
      </patternFill>
    </fill>
    <fill>
      <patternFill patternType="solid">
        <fgColor rgb="FF59BC8B"/>
        <bgColor rgb="FF59BC8B"/>
      </patternFill>
    </fill>
    <fill>
      <patternFill patternType="solid">
        <fgColor rgb="FFA3DABF"/>
        <bgColor rgb="FFA3DABF"/>
      </patternFill>
    </fill>
    <fill>
      <patternFill patternType="solid">
        <fgColor rgb="FFD9F0E5"/>
        <bgColor rgb="FFD9F0E5"/>
      </patternFill>
    </fill>
    <fill>
      <patternFill patternType="solid">
        <fgColor rgb="FF59BC8C"/>
        <bgColor rgb="FF59BC8C"/>
      </patternFill>
    </fill>
    <fill>
      <patternFill patternType="solid">
        <fgColor rgb="FFB4E1CB"/>
        <bgColor rgb="FFB4E1CB"/>
      </patternFill>
    </fill>
    <fill>
      <patternFill patternType="solid">
        <fgColor rgb="FFFBFDFC"/>
        <bgColor rgb="FFFBFDFC"/>
      </patternFill>
    </fill>
    <fill>
      <patternFill patternType="solid">
        <fgColor rgb="FFB2E0C9"/>
        <bgColor rgb="FFB2E0C9"/>
      </patternFill>
    </fill>
    <fill>
      <patternFill patternType="solid">
        <fgColor rgb="FF57BB8A"/>
        <bgColor rgb="FF57BB8A"/>
      </patternFill>
    </fill>
    <fill>
      <patternFill patternType="solid">
        <fgColor rgb="FFFFFFFF"/>
        <bgColor rgb="FFFFFFFF"/>
      </patternFill>
    </fill>
    <fill>
      <patternFill patternType="solid">
        <fgColor rgb="FFF3FAF7"/>
        <bgColor rgb="FFF3FAF7"/>
      </patternFill>
    </fill>
    <fill>
      <patternFill patternType="solid">
        <fgColor rgb="FFDCF1E7"/>
        <bgColor rgb="FFDCF1E7"/>
      </patternFill>
    </fill>
    <fill>
      <patternFill patternType="solid">
        <fgColor rgb="FF6EC59A"/>
        <bgColor rgb="FF6EC59A"/>
      </patternFill>
    </fill>
    <fill>
      <patternFill patternType="solid">
        <fgColor rgb="FF63C092"/>
        <bgColor rgb="FF63C092"/>
      </patternFill>
    </fill>
    <fill>
      <patternFill patternType="solid">
        <fgColor rgb="FFEDF8F3"/>
        <bgColor rgb="FFEDF8F3"/>
      </patternFill>
    </fill>
    <fill>
      <patternFill patternType="solid">
        <fgColor rgb="FFDAF0E5"/>
        <bgColor rgb="FFDAF0E5"/>
      </patternFill>
    </fill>
    <fill>
      <patternFill patternType="solid">
        <fgColor rgb="FFE4F5ED"/>
        <bgColor rgb="FFE4F5ED"/>
      </patternFill>
    </fill>
    <fill>
      <patternFill patternType="solid">
        <fgColor rgb="FFBAE4CF"/>
        <bgColor rgb="FFBAE4CF"/>
      </patternFill>
    </fill>
    <fill>
      <patternFill patternType="solid">
        <fgColor rgb="FFD0ECDE"/>
        <bgColor rgb="FFD0ECDE"/>
      </patternFill>
    </fill>
    <fill>
      <patternFill patternType="solid">
        <fgColor rgb="FFADDEC6"/>
        <bgColor rgb="FFADDEC6"/>
      </patternFill>
    </fill>
    <fill>
      <patternFill patternType="solid">
        <fgColor rgb="FFF7FCFA"/>
        <bgColor rgb="FFF7FCFA"/>
      </patternFill>
    </fill>
    <fill>
      <patternFill patternType="solid">
        <fgColor rgb="FFB2E0CA"/>
        <bgColor rgb="FFB2E0CA"/>
      </patternFill>
    </fill>
    <fill>
      <patternFill patternType="solid">
        <fgColor rgb="FFCEECDD"/>
        <bgColor rgb="FFCEECDD"/>
      </patternFill>
    </fill>
    <fill>
      <patternFill patternType="solid">
        <fgColor rgb="FFF7FCF9"/>
        <bgColor rgb="FFF7FCF9"/>
      </patternFill>
    </fill>
    <fill>
      <patternFill patternType="solid">
        <fgColor rgb="FFDDF2E7"/>
        <bgColor rgb="FFDDF2E7"/>
      </patternFill>
    </fill>
    <fill>
      <patternFill patternType="solid">
        <fgColor rgb="FFA9DCC3"/>
        <bgColor rgb="FFA9DCC3"/>
      </patternFill>
    </fill>
    <fill>
      <patternFill patternType="solid">
        <fgColor rgb="FF99D6B8"/>
        <bgColor rgb="FF99D6B8"/>
      </patternFill>
    </fill>
    <fill>
      <patternFill patternType="solid">
        <fgColor rgb="FFA7DCC2"/>
        <bgColor rgb="FFA7DCC2"/>
      </patternFill>
    </fill>
    <fill>
      <patternFill patternType="solid">
        <fgColor rgb="FF5BBD8D"/>
        <bgColor rgb="FF5BBD8D"/>
      </patternFill>
    </fill>
    <fill>
      <patternFill patternType="solid">
        <fgColor rgb="FFFAFDFC"/>
        <bgColor rgb="FFFAFDFC"/>
      </patternFill>
    </fill>
    <fill>
      <patternFill patternType="solid">
        <fgColor rgb="FFB6E2CC"/>
        <bgColor rgb="FFB6E2CC"/>
      </patternFill>
    </fill>
    <fill>
      <patternFill patternType="solid">
        <fgColor rgb="FFAFDFC8"/>
        <bgColor rgb="FFAFDFC8"/>
      </patternFill>
    </fill>
    <fill>
      <patternFill patternType="solid">
        <fgColor rgb="FF93D4B4"/>
        <bgColor rgb="FF93D4B4"/>
      </patternFill>
    </fill>
    <fill>
      <patternFill patternType="solid">
        <fgColor rgb="FFFBFEFC"/>
        <bgColor rgb="FFFBFEFC"/>
      </patternFill>
    </fill>
    <fill>
      <patternFill patternType="solid">
        <fgColor rgb="FFCFECDE"/>
        <bgColor rgb="FFCFECDE"/>
      </patternFill>
    </fill>
    <fill>
      <patternFill patternType="solid">
        <fgColor rgb="FFB1E0C9"/>
        <bgColor rgb="FFB1E0C9"/>
      </patternFill>
    </fill>
    <fill>
      <patternFill patternType="solid">
        <fgColor rgb="FFCAEADA"/>
        <bgColor rgb="FFCAEADA"/>
      </patternFill>
    </fill>
    <fill>
      <patternFill patternType="solid">
        <fgColor rgb="FFA0D9BD"/>
        <bgColor rgb="FFA0D9BD"/>
      </patternFill>
    </fill>
    <fill>
      <patternFill patternType="solid">
        <fgColor rgb="FFEBF7F1"/>
        <bgColor rgb="FFEBF7F1"/>
      </patternFill>
    </fill>
    <fill>
      <patternFill patternType="solid">
        <fgColor rgb="FF67C296"/>
        <bgColor rgb="FF67C296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Border="1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0" fillId="0" fontId="8" numFmtId="0" xfId="0" applyAlignment="1" applyFont="1">
      <alignment horizontal="right" readingOrder="0" vertical="bottom"/>
    </xf>
    <xf borderId="3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0" fillId="0" fontId="9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11" xfId="0" applyAlignment="1" applyFont="1" applyNumberFormat="1">
      <alignment horizontal="left"/>
    </xf>
    <xf borderId="0" fillId="0" fontId="3" numFmtId="0" xfId="0" applyAlignment="1" applyFont="1">
      <alignment vertical="bottom"/>
    </xf>
    <xf borderId="0" fillId="0" fontId="10" numFmtId="164" xfId="0" applyAlignment="1" applyFont="1" applyNumberFormat="1">
      <alignment horizontal="center" vertical="bottom"/>
    </xf>
    <xf borderId="0" fillId="0" fontId="10" numFmtId="2" xfId="0" applyAlignment="1" applyFont="1" applyNumberFormat="1">
      <alignment horizontal="center" vertical="bottom"/>
    </xf>
    <xf borderId="3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bottom"/>
    </xf>
    <xf borderId="5" fillId="0" fontId="3" numFmtId="2" xfId="0" applyAlignment="1" applyBorder="1" applyFont="1" applyNumberFormat="1">
      <alignment horizontal="center" vertical="bottom"/>
    </xf>
    <xf borderId="6" fillId="0" fontId="3" numFmtId="2" xfId="0" applyAlignment="1" applyBorder="1" applyFont="1" applyNumberForma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7" fillId="0" fontId="3" numFmtId="2" xfId="0" applyAlignment="1" applyBorder="1" applyFont="1" applyNumberFormat="1">
      <alignment horizontal="center" vertical="bottom"/>
    </xf>
    <xf borderId="2" fillId="0" fontId="3" numFmtId="2" xfId="0" applyAlignment="1" applyBorder="1" applyFont="1" applyNumberFormat="1">
      <alignment horizontal="center" vertical="bottom"/>
    </xf>
    <xf borderId="1" fillId="0" fontId="3" numFmtId="2" xfId="0" applyAlignment="1" applyBorder="1" applyFont="1" applyNumberFormat="1">
      <alignment horizontal="center" vertical="bottom"/>
    </xf>
    <xf borderId="8" fillId="0" fontId="3" numFmtId="2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9" fillId="0" fontId="2" numFmtId="0" xfId="0" applyAlignment="1" applyBorder="1" applyFont="1">
      <alignment horizontal="center" readingOrder="0"/>
    </xf>
    <xf borderId="3" fillId="0" fontId="2" numFmtId="2" xfId="0" applyAlignment="1" applyBorder="1" applyFont="1" applyNumberFormat="1">
      <alignment horizontal="center"/>
    </xf>
    <xf borderId="4" fillId="0" fontId="2" numFmtId="2" xfId="0" applyAlignment="1" applyBorder="1" applyFont="1" applyNumberFormat="1">
      <alignment horizontal="center"/>
    </xf>
    <xf borderId="5" fillId="0" fontId="2" numFmtId="2" xfId="0" applyAlignment="1" applyBorder="1" applyFont="1" applyNumberFormat="1">
      <alignment horizontal="center"/>
    </xf>
    <xf borderId="6" fillId="0" fontId="2" numFmtId="2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7" fillId="0" fontId="2" numFmtId="2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  <xf borderId="8" fillId="0" fontId="2" numFmtId="2" xfId="0" applyAlignment="1" applyBorder="1" applyFont="1" applyNumberFormat="1">
      <alignment horizontal="center"/>
    </xf>
    <xf borderId="3" fillId="3" fontId="3" numFmtId="164" xfId="0" applyAlignment="1" applyBorder="1" applyFill="1" applyFont="1" applyNumberFormat="1">
      <alignment horizontal="center" vertical="bottom"/>
    </xf>
    <xf borderId="4" fillId="4" fontId="3" numFmtId="164" xfId="0" applyAlignment="1" applyBorder="1" applyFill="1" applyFont="1" applyNumberFormat="1">
      <alignment horizontal="center" vertical="bottom"/>
    </xf>
    <xf borderId="4" fillId="5" fontId="3" numFmtId="164" xfId="0" applyAlignment="1" applyBorder="1" applyFill="1" applyFont="1" applyNumberFormat="1">
      <alignment horizontal="center" vertical="bottom"/>
    </xf>
    <xf borderId="4" fillId="6" fontId="3" numFmtId="164" xfId="0" applyAlignment="1" applyBorder="1" applyFill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6" fillId="8" fontId="3" numFmtId="164" xfId="0" applyAlignment="1" applyBorder="1" applyFill="1" applyFont="1" applyNumberFormat="1">
      <alignment horizontal="center" vertical="bottom"/>
    </xf>
    <xf borderId="0" fillId="9" fontId="3" numFmtId="164" xfId="0" applyAlignment="1" applyFill="1" applyFont="1" applyNumberFormat="1">
      <alignment horizontal="center" vertical="bottom"/>
    </xf>
    <xf borderId="0" fillId="10" fontId="3" numFmtId="164" xfId="0" applyAlignment="1" applyFill="1" applyFont="1" applyNumberFormat="1">
      <alignment horizontal="center" vertical="bottom"/>
    </xf>
    <xf borderId="0" fillId="11" fontId="3" numFmtId="164" xfId="0" applyAlignment="1" applyFill="1" applyFont="1" applyNumberFormat="1">
      <alignment horizontal="center" vertical="bottom"/>
    </xf>
    <xf borderId="7" fillId="12" fontId="3" numFmtId="164" xfId="0" applyAlignment="1" applyBorder="1" applyFill="1" applyFont="1" applyNumberFormat="1">
      <alignment horizontal="center" vertical="bottom"/>
    </xf>
    <xf borderId="6" fillId="13" fontId="3" numFmtId="164" xfId="0" applyAlignment="1" applyBorder="1" applyFill="1" applyFont="1" applyNumberFormat="1">
      <alignment horizontal="center" vertical="bottom"/>
    </xf>
    <xf borderId="0" fillId="14" fontId="3" numFmtId="164" xfId="0" applyAlignment="1" applyFill="1" applyFont="1" applyNumberFormat="1">
      <alignment horizontal="center" vertical="bottom"/>
    </xf>
    <xf borderId="0" fillId="15" fontId="3" numFmtId="164" xfId="0" applyAlignment="1" applyFill="1" applyFont="1" applyNumberFormat="1">
      <alignment horizontal="center" vertical="bottom"/>
    </xf>
    <xf borderId="0" fillId="16" fontId="3" numFmtId="164" xfId="0" applyAlignment="1" applyFill="1" applyFont="1" applyNumberFormat="1">
      <alignment horizontal="center" vertical="bottom"/>
    </xf>
    <xf borderId="7" fillId="17" fontId="3" numFmtId="164" xfId="0" applyAlignment="1" applyBorder="1" applyFill="1" applyFont="1" applyNumberFormat="1">
      <alignment horizontal="center" vertical="bottom"/>
    </xf>
    <xf borderId="6" fillId="18" fontId="3" numFmtId="164" xfId="0" applyAlignment="1" applyBorder="1" applyFill="1" applyFont="1" applyNumberFormat="1">
      <alignment horizontal="center" vertical="bottom"/>
    </xf>
    <xf borderId="0" fillId="19" fontId="3" numFmtId="164" xfId="0" applyAlignment="1" applyFill="1" applyFont="1" applyNumberFormat="1">
      <alignment horizontal="center" vertical="bottom"/>
    </xf>
    <xf borderId="0" fillId="20" fontId="3" numFmtId="164" xfId="0" applyAlignment="1" applyFill="1" applyFont="1" applyNumberFormat="1">
      <alignment horizontal="center" vertical="bottom"/>
    </xf>
    <xf borderId="0" fillId="21" fontId="3" numFmtId="164" xfId="0" applyAlignment="1" applyFill="1" applyFont="1" applyNumberFormat="1">
      <alignment horizontal="center" vertical="bottom"/>
    </xf>
    <xf borderId="7" fillId="22" fontId="3" numFmtId="164" xfId="0" applyAlignment="1" applyBorder="1" applyFill="1" applyFont="1" applyNumberFormat="1">
      <alignment horizontal="center" vertical="bottom"/>
    </xf>
    <xf borderId="2" fillId="23" fontId="3" numFmtId="164" xfId="0" applyAlignment="1" applyBorder="1" applyFill="1" applyFont="1" applyNumberFormat="1">
      <alignment horizontal="center" vertical="bottom"/>
    </xf>
    <xf borderId="1" fillId="24" fontId="3" numFmtId="164" xfId="0" applyAlignment="1" applyBorder="1" applyFill="1" applyFont="1" applyNumberFormat="1">
      <alignment horizontal="center" vertical="bottom"/>
    </xf>
    <xf borderId="1" fillId="25" fontId="3" numFmtId="164" xfId="0" applyAlignment="1" applyBorder="1" applyFill="1" applyFont="1" applyNumberFormat="1">
      <alignment horizontal="center" vertical="bottom"/>
    </xf>
    <xf borderId="1" fillId="26" fontId="3" numFmtId="164" xfId="0" applyAlignment="1" applyBorder="1" applyFill="1" applyFont="1" applyNumberFormat="1">
      <alignment horizontal="center" vertical="bottom"/>
    </xf>
    <xf borderId="8" fillId="27" fontId="3" numFmtId="164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horizontal="right" vertical="bottom"/>
    </xf>
    <xf borderId="6" fillId="0" fontId="6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bottom"/>
    </xf>
    <xf borderId="6" fillId="0" fontId="7" numFmtId="0" xfId="0" applyBorder="1" applyFont="1"/>
    <xf borderId="0" fillId="0" fontId="6" numFmtId="0" xfId="0" applyAlignment="1" applyFont="1">
      <alignment horizontal="center" vertical="bottom"/>
    </xf>
    <xf borderId="0" fillId="0" fontId="8" numFmtId="0" xfId="0" applyAlignment="1" applyFont="1">
      <alignment horizontal="right" vertical="bottom"/>
    </xf>
    <xf borderId="0" fillId="0" fontId="3" numFmtId="11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3" fillId="18" fontId="3" numFmtId="2" xfId="0" applyAlignment="1" applyBorder="1" applyFill="1" applyFont="1" applyNumberFormat="1">
      <alignment horizontal="center" vertical="bottom"/>
    </xf>
    <xf borderId="4" fillId="18" fontId="3" numFmtId="2" xfId="0" applyAlignment="1" applyBorder="1" applyFill="1" applyFont="1" applyNumberFormat="1">
      <alignment horizontal="center" vertical="bottom"/>
    </xf>
    <xf borderId="5" fillId="18" fontId="3" numFmtId="2" xfId="0" applyAlignment="1" applyBorder="1" applyFill="1" applyFont="1" applyNumberFormat="1">
      <alignment horizontal="center" vertical="bottom"/>
    </xf>
    <xf borderId="6" fillId="18" fontId="3" numFmtId="2" xfId="0" applyAlignment="1" applyBorder="1" applyFill="1" applyFont="1" applyNumberFormat="1">
      <alignment horizontal="center" vertical="bottom"/>
    </xf>
    <xf borderId="0" fillId="18" fontId="3" numFmtId="2" xfId="0" applyAlignment="1" applyFill="1" applyFont="1" applyNumberFormat="1">
      <alignment horizontal="center" vertical="bottom"/>
    </xf>
    <xf borderId="7" fillId="18" fontId="3" numFmtId="2" xfId="0" applyAlignment="1" applyBorder="1" applyFill="1" applyFont="1" applyNumberFormat="1">
      <alignment horizontal="center" vertical="bottom"/>
    </xf>
    <xf borderId="2" fillId="18" fontId="3" numFmtId="2" xfId="0" applyAlignment="1" applyBorder="1" applyFill="1" applyFont="1" applyNumberFormat="1">
      <alignment horizontal="center" vertical="bottom"/>
    </xf>
    <xf borderId="1" fillId="18" fontId="3" numFmtId="2" xfId="0" applyAlignment="1" applyBorder="1" applyFill="1" applyFont="1" applyNumberFormat="1">
      <alignment horizontal="center" vertical="bottom"/>
    </xf>
    <xf borderId="8" fillId="18" fontId="3" numFmtId="2" xfId="0" applyAlignment="1" applyBorder="1" applyFill="1" applyFont="1" applyNumberFormat="1">
      <alignment horizontal="center" vertical="bottom"/>
    </xf>
    <xf borderId="0" fillId="0" fontId="6" numFmtId="0" xfId="0" applyAlignment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1" fillId="0" fontId="6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3" fillId="28" fontId="3" numFmtId="164" xfId="0" applyAlignment="1" applyBorder="1" applyFill="1" applyFont="1" applyNumberFormat="1">
      <alignment horizontal="center" vertical="bottom"/>
    </xf>
    <xf borderId="4" fillId="29" fontId="3" numFmtId="164" xfId="0" applyAlignment="1" applyBorder="1" applyFill="1" applyFont="1" applyNumberFormat="1">
      <alignment horizontal="center" vertical="bottom"/>
    </xf>
    <xf borderId="4" fillId="30" fontId="3" numFmtId="164" xfId="0" applyAlignment="1" applyBorder="1" applyFill="1" applyFont="1" applyNumberFormat="1">
      <alignment horizontal="center" vertical="bottom"/>
    </xf>
    <xf borderId="4" fillId="31" fontId="3" numFmtId="164" xfId="0" applyAlignment="1" applyBorder="1" applyFill="1" applyFont="1" applyNumberFormat="1">
      <alignment horizontal="center" vertical="bottom"/>
    </xf>
    <xf borderId="5" fillId="32" fontId="3" numFmtId="164" xfId="0" applyAlignment="1" applyBorder="1" applyFill="1" applyFont="1" applyNumberFormat="1">
      <alignment horizontal="center" vertical="bottom"/>
    </xf>
    <xf borderId="0" fillId="0" fontId="2" numFmtId="164" xfId="0" applyAlignment="1" applyFont="1" applyNumberFormat="1">
      <alignment horizontal="left" readingOrder="0"/>
    </xf>
    <xf borderId="6" fillId="33" fontId="3" numFmtId="164" xfId="0" applyAlignment="1" applyBorder="1" applyFill="1" applyFont="1" applyNumberFormat="1">
      <alignment horizontal="center" vertical="bottom"/>
    </xf>
    <xf borderId="0" fillId="34" fontId="3" numFmtId="164" xfId="0" applyAlignment="1" applyFill="1" applyFont="1" applyNumberFormat="1">
      <alignment horizontal="center" vertical="bottom"/>
    </xf>
    <xf borderId="0" fillId="35" fontId="3" numFmtId="164" xfId="0" applyAlignment="1" applyFill="1" applyFont="1" applyNumberFormat="1">
      <alignment horizontal="center" vertical="bottom"/>
    </xf>
    <xf borderId="0" fillId="36" fontId="3" numFmtId="164" xfId="0" applyAlignment="1" applyFill="1" applyFont="1" applyNumberFormat="1">
      <alignment horizontal="center" vertical="bottom"/>
    </xf>
    <xf borderId="7" fillId="37" fontId="3" numFmtId="164" xfId="0" applyAlignment="1" applyBorder="1" applyFill="1" applyFont="1" applyNumberFormat="1">
      <alignment horizontal="center" vertical="bottom"/>
    </xf>
    <xf borderId="6" fillId="38" fontId="3" numFmtId="164" xfId="0" applyAlignment="1" applyBorder="1" applyFill="1" applyFont="1" applyNumberFormat="1">
      <alignment horizontal="center" vertical="bottom"/>
    </xf>
    <xf borderId="0" fillId="39" fontId="3" numFmtId="164" xfId="0" applyAlignment="1" applyFill="1" applyFont="1" applyNumberFormat="1">
      <alignment horizontal="center" vertical="bottom"/>
    </xf>
    <xf borderId="0" fillId="28" fontId="3" numFmtId="164" xfId="0" applyAlignment="1" applyFill="1" applyFont="1" applyNumberFormat="1">
      <alignment horizontal="center" vertical="bottom"/>
    </xf>
    <xf borderId="0" fillId="40" fontId="3" numFmtId="164" xfId="0" applyAlignment="1" applyFill="1" applyFont="1" applyNumberFormat="1">
      <alignment horizontal="center" vertical="bottom"/>
    </xf>
    <xf borderId="7" fillId="35" fontId="3" numFmtId="164" xfId="0" applyAlignment="1" applyBorder="1" applyFill="1" applyFont="1" applyNumberFormat="1">
      <alignment horizontal="center" vertical="bottom"/>
    </xf>
    <xf borderId="6" fillId="41" fontId="3" numFmtId="164" xfId="0" applyAlignment="1" applyBorder="1" applyFill="1" applyFont="1" applyNumberFormat="1">
      <alignment horizontal="center" vertical="bottom"/>
    </xf>
    <xf borderId="0" fillId="42" fontId="3" numFmtId="164" xfId="0" applyAlignment="1" applyFill="1" applyFont="1" applyNumberFormat="1">
      <alignment horizontal="center" vertical="bottom"/>
    </xf>
    <xf borderId="0" fillId="43" fontId="3" numFmtId="164" xfId="0" applyAlignment="1" applyFill="1" applyFont="1" applyNumberFormat="1">
      <alignment horizontal="center" vertical="bottom"/>
    </xf>
    <xf borderId="0" fillId="13" fontId="3" numFmtId="164" xfId="0" applyAlignment="1" applyFill="1" applyFont="1" applyNumberFormat="1">
      <alignment horizontal="center" vertical="bottom"/>
    </xf>
    <xf borderId="7" fillId="44" fontId="3" numFmtId="164" xfId="0" applyAlignment="1" applyBorder="1" applyFill="1" applyFont="1" applyNumberFormat="1">
      <alignment horizontal="center" vertical="bottom"/>
    </xf>
    <xf borderId="2" fillId="45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46" fontId="3" numFmtId="164" xfId="0" applyAlignment="1" applyBorder="1" applyFill="1" applyFont="1" applyNumberFormat="1">
      <alignment horizontal="center" vertical="bottom"/>
    </xf>
    <xf borderId="1" fillId="47" fontId="3" numFmtId="164" xfId="0" applyAlignment="1" applyBorder="1" applyFill="1" applyFont="1" applyNumberFormat="1">
      <alignment horizontal="center" vertical="bottom"/>
    </xf>
    <xf borderId="8" fillId="48" fontId="3" numFmtId="164" xfId="0" applyAlignment="1" applyBorder="1" applyFill="1" applyFont="1" applyNumberFormat="1">
      <alignment horizontal="center" vertical="bottom"/>
    </xf>
    <xf borderId="6" fillId="0" fontId="2" numFmtId="0" xfId="0" applyAlignment="1" applyBorder="1" applyFont="1">
      <alignment horizontal="left" readingOrder="0"/>
    </xf>
    <xf borderId="3" fillId="0" fontId="3" numFmtId="2" xfId="0" applyAlignment="1" applyBorder="1" applyFont="1" applyNumberFormat="1">
      <alignment horizontal="left" readingOrder="0" vertical="bottom"/>
    </xf>
    <xf borderId="0" fillId="0" fontId="8" numFmtId="164" xfId="0" applyAlignment="1" applyFont="1" applyNumberFormat="1">
      <alignment horizontal="right" readingOrder="0" vertical="bottom"/>
    </xf>
    <xf borderId="3" fillId="0" fontId="3" numFmtId="164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5" fillId="0" fontId="3" numFmtId="164" xfId="0" applyAlignment="1" applyBorder="1" applyFont="1" applyNumberFormat="1">
      <alignment horizontal="center" vertical="bottom"/>
    </xf>
    <xf borderId="6" fillId="0" fontId="3" numFmtId="164" xfId="0" applyAlignment="1" applyBorder="1" applyFont="1" applyNumberFormat="1">
      <alignment horizontal="center" vertical="bottom"/>
    </xf>
    <xf borderId="7" fillId="0" fontId="3" numFmtId="164" xfId="0" applyAlignment="1" applyBorder="1" applyFont="1" applyNumberForma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8" fillId="0" fontId="3" numFmtId="164" xfId="0" applyAlignment="1" applyBorder="1" applyFont="1" applyNumberFormat="1">
      <alignment horizontal="center" vertical="bottom"/>
    </xf>
    <xf borderId="0" fillId="0" fontId="2" numFmtId="164" xfId="0" applyFont="1" applyNumberFormat="1"/>
    <xf borderId="0" fillId="0" fontId="1" numFmtId="164" xfId="0" applyAlignment="1" applyFont="1" applyNumberFormat="1">
      <alignment horizontal="right"/>
    </xf>
    <xf borderId="0" fillId="0" fontId="8" numFmtId="0" xfId="0" applyAlignment="1" applyFont="1">
      <alignment horizontal="left" readingOrder="0" vertical="bottom"/>
    </xf>
    <xf borderId="0" fillId="0" fontId="6" numFmtId="164" xfId="0" applyAlignment="1" applyFont="1" applyNumberFormat="1">
      <alignment horizontal="center" shrinkToFit="0" vertical="bottom" wrapText="1"/>
    </xf>
    <xf borderId="0" fillId="0" fontId="1" numFmtId="164" xfId="0" applyAlignment="1" applyFont="1" applyNumberFormat="1">
      <alignment horizontal="right" readingOrder="0"/>
    </xf>
    <xf borderId="9" fillId="0" fontId="2" numFmtId="164" xfId="0" applyAlignment="1" applyBorder="1" applyFont="1" applyNumberFormat="1">
      <alignment horizontal="center" readingOrder="0"/>
    </xf>
    <xf borderId="3" fillId="0" fontId="11" numFmtId="164" xfId="0" applyAlignment="1" applyBorder="1" applyFont="1" applyNumberFormat="1">
      <alignment horizontal="center"/>
    </xf>
    <xf borderId="4" fillId="0" fontId="11" numFmtId="164" xfId="0" applyAlignment="1" applyBorder="1" applyFont="1" applyNumberFormat="1">
      <alignment horizontal="center"/>
    </xf>
    <xf borderId="5" fillId="0" fontId="11" numFmtId="164" xfId="0" applyAlignment="1" applyBorder="1" applyFont="1" applyNumberFormat="1">
      <alignment horizontal="center"/>
    </xf>
    <xf borderId="6" fillId="0" fontId="11" numFmtId="164" xfId="0" applyAlignment="1" applyBorder="1" applyFont="1" applyNumberFormat="1">
      <alignment horizontal="center"/>
    </xf>
    <xf borderId="0" fillId="0" fontId="11" numFmtId="164" xfId="0" applyAlignment="1" applyFont="1" applyNumberFormat="1">
      <alignment horizontal="center"/>
    </xf>
    <xf borderId="7" fillId="0" fontId="11" numFmtId="164" xfId="0" applyAlignment="1" applyBorder="1" applyFont="1" applyNumberFormat="1">
      <alignment horizontal="center"/>
    </xf>
    <xf borderId="2" fillId="0" fontId="11" numFmtId="164" xfId="0" applyAlignment="1" applyBorder="1" applyFont="1" applyNumberFormat="1">
      <alignment horizontal="center"/>
    </xf>
    <xf borderId="1" fillId="0" fontId="11" numFmtId="164" xfId="0" applyAlignment="1" applyBorder="1" applyFont="1" applyNumberFormat="1">
      <alignment horizontal="center"/>
    </xf>
    <xf borderId="8" fillId="0" fontId="11" numFmtId="164" xfId="0" applyAlignment="1" applyBorder="1" applyFont="1" applyNumberFormat="1">
      <alignment horizontal="center"/>
    </xf>
    <xf borderId="3" fillId="0" fontId="11" numFmtId="164" xfId="0" applyAlignment="1" applyBorder="1" applyFont="1" applyNumberFormat="1">
      <alignment horizontal="right"/>
    </xf>
    <xf borderId="0" fillId="2" fontId="2" numFmtId="0" xfId="0" applyAlignment="1" applyFill="1" applyFont="1">
      <alignment readingOrder="0"/>
    </xf>
    <xf borderId="3" fillId="0" fontId="2" numFmtId="164" xfId="0" applyBorder="1" applyFont="1" applyNumberFormat="1"/>
    <xf borderId="4" fillId="0" fontId="2" numFmtId="164" xfId="0" applyBorder="1" applyFont="1" applyNumberFormat="1"/>
    <xf borderId="5" fillId="0" fontId="2" numFmtId="164" xfId="0" applyBorder="1" applyFont="1" applyNumberFormat="1"/>
    <xf borderId="6" fillId="0" fontId="11" numFmtId="164" xfId="0" applyAlignment="1" applyBorder="1" applyFont="1" applyNumberFormat="1">
      <alignment horizontal="right"/>
    </xf>
    <xf borderId="6" fillId="0" fontId="2" numFmtId="164" xfId="0" applyBorder="1" applyFont="1" applyNumberFormat="1"/>
    <xf borderId="7" fillId="0" fontId="2" numFmtId="164" xfId="0" applyBorder="1" applyFont="1" applyNumberFormat="1"/>
    <xf borderId="2" fillId="0" fontId="11" numFmtId="164" xfId="0" applyAlignment="1" applyBorder="1" applyFont="1" applyNumberFormat="1">
      <alignment horizontal="right"/>
    </xf>
    <xf borderId="2" fillId="0" fontId="2" numFmtId="164" xfId="0" applyBorder="1" applyFont="1" applyNumberFormat="1"/>
    <xf borderId="1" fillId="0" fontId="2" numFmtId="164" xfId="0" applyBorder="1" applyFont="1" applyNumberFormat="1"/>
    <xf borderId="8" fillId="0" fontId="2" numFmtId="164" xfId="0" applyBorder="1" applyFont="1" applyNumberFormat="1"/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2" numFmtId="0" xfId="0" applyAlignment="1" applyFont="1">
      <alignment horizontal="right" readingOrder="0"/>
    </xf>
    <xf borderId="0" fillId="0" fontId="3" numFmtId="0" xfId="0" applyAlignment="1" applyFont="1">
      <alignment horizontal="center" vertical="bottom"/>
    </xf>
    <xf borderId="3" fillId="0" fontId="2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'wo Answers'!$C$9:$C$10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'wo Answers'!$C$11:$C$15</c:f>
              <c:numCache/>
            </c:numRef>
          </c:yVal>
        </c:ser>
        <c:ser>
          <c:idx val="1"/>
          <c:order val="1"/>
          <c:tx>
            <c:strRef>
              <c:f>'wo Answers'!$D$9:$D$10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'wo Answers'!$D$11:$D$15</c:f>
              <c:numCache/>
            </c:numRef>
          </c:yVal>
        </c:ser>
        <c:ser>
          <c:idx val="2"/>
          <c:order val="2"/>
          <c:tx>
            <c:strRef>
              <c:f>'wo Answers'!$E$9:$E$10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'wo Answers'!$E$11:$E$15</c:f>
              <c:numCache/>
            </c:numRef>
          </c:yVal>
        </c:ser>
        <c:ser>
          <c:idx val="3"/>
          <c:order val="3"/>
          <c:tx>
            <c:strRef>
              <c:f>'wo Answers'!$F$9:$F$10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'wo Answers'!$F$11:$F$15</c:f>
              <c:numCache/>
            </c:numRef>
          </c:yVal>
        </c:ser>
        <c:ser>
          <c:idx val="4"/>
          <c:order val="4"/>
          <c:tx>
            <c:strRef>
              <c:f>'wo Answers'!$G$9:$G$10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'wo Answers'!$G$11:$G$15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228174"/>
        <c:axId val="1244130363"/>
      </c:scatterChart>
      <c:valAx>
        <c:axId val="7142281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130363"/>
      </c:valAx>
      <c:valAx>
        <c:axId val="124413036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22817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69073599"/>
        <c:axId val="524392399"/>
      </c:scatterChart>
      <c:valAx>
        <c:axId val="5690735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392399"/>
      </c:valAx>
      <c:valAx>
        <c:axId val="52439239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6907359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'wo Answers'!$C$46:$C$50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'wo Answers'!$D$46:$D$50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'wo Answers'!$E$46:$E$50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'wo Answers'!$F$46:$F$50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'wo Answers'!$G$46:$G$50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837202"/>
        <c:axId val="205253286"/>
      </c:scatterChart>
      <c:valAx>
        <c:axId val="21398372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53286"/>
      </c:valAx>
      <c:valAx>
        <c:axId val="20525328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9837202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'wo Answers'!$C$67:$C$71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'wo Answers'!$D$67:$D$71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'wo Answers'!$E$67:$E$71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'wo Answers'!$F$67:$F$71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'wo Answers'!$G$67:$G$71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593879"/>
        <c:axId val="1778890151"/>
      </c:scatterChart>
      <c:valAx>
        <c:axId val="18415938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890151"/>
      </c:valAx>
      <c:valAx>
        <c:axId val="1778890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593879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'w Answers'!$C$9:$C$10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 Answers'!$C$11:$C$15</c:f>
              <c:numCache/>
            </c:numRef>
          </c:yVal>
        </c:ser>
        <c:ser>
          <c:idx val="1"/>
          <c:order val="1"/>
          <c:tx>
            <c:strRef>
              <c:f>'w Answers'!$D$9:$D$10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 Answers'!$D$11:$D$15</c:f>
              <c:numCache/>
            </c:numRef>
          </c:yVal>
        </c:ser>
        <c:ser>
          <c:idx val="2"/>
          <c:order val="2"/>
          <c:tx>
            <c:strRef>
              <c:f>'w Answers'!$E$9:$E$10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 Answers'!$E$11:$E$15</c:f>
              <c:numCache/>
            </c:numRef>
          </c:yVal>
        </c:ser>
        <c:ser>
          <c:idx val="3"/>
          <c:order val="3"/>
          <c:tx>
            <c:strRef>
              <c:f>'w Answers'!$F$9:$F$10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 Answers'!$F$11:$F$15</c:f>
              <c:numCache/>
            </c:numRef>
          </c:yVal>
        </c:ser>
        <c:ser>
          <c:idx val="4"/>
          <c:order val="4"/>
          <c:tx>
            <c:strRef>
              <c:f>'w Answers'!$G$9:$G$10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 Answers'!$G$11:$G$15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383923"/>
        <c:axId val="1979895502"/>
      </c:scatterChart>
      <c:valAx>
        <c:axId val="15333839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895502"/>
      </c:valAx>
      <c:valAx>
        <c:axId val="197989550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383923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 Answers'!$C$30:$C$34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 Answers'!$D$30:$D$34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 Answers'!$E$30:$E$34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 Answers'!$F$30:$F$34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 Answers'!$G$30:$G$34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781809"/>
        <c:axId val="1806413152"/>
      </c:scatterChart>
      <c:valAx>
        <c:axId val="775781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413152"/>
      </c:valAx>
      <c:valAx>
        <c:axId val="1806413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781809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 Answers'!$C$46:$C$50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 Answers'!$D$46:$D$50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 Answers'!$E$46:$E$50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 Answers'!$F$46:$F$50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 Answers'!$G$46:$G$50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532977"/>
        <c:axId val="1450451359"/>
      </c:scatterChart>
      <c:valAx>
        <c:axId val="18685329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0451359"/>
      </c:valAx>
      <c:valAx>
        <c:axId val="145045135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532977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 Answers'!$C$67:$C$71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 Answers'!$D$67:$D$71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 Answers'!$E$67:$E$71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 Answers'!$F$67:$F$71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 Answers'!$G$67:$G$71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807115"/>
        <c:axId val="285933691"/>
      </c:scatterChart>
      <c:valAx>
        <c:axId val="21078071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933691"/>
      </c:valAx>
      <c:valAx>
        <c:axId val="285933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80711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2.png"/><Relationship Id="rId6" Type="http://schemas.openxmlformats.org/officeDocument/2006/relationships/image" Target="../media/image3.png"/><Relationship Id="rId7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image" Target="../media/image2.png"/><Relationship Id="rId6" Type="http://schemas.openxmlformats.org/officeDocument/2006/relationships/image" Target="../media/image3.png"/><Relationship Id="rId7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142875</xdr:colOff>
      <xdr:row>9</xdr:row>
      <xdr:rowOff>57150</xdr:rowOff>
    </xdr:from>
    <xdr:ext cx="1981200" cy="1238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85725</xdr:colOff>
      <xdr:row>27</xdr:row>
      <xdr:rowOff>123825</xdr:rowOff>
    </xdr:from>
    <xdr:ext cx="2105025" cy="13049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19050</xdr:colOff>
      <xdr:row>44</xdr:row>
      <xdr:rowOff>85725</xdr:rowOff>
    </xdr:from>
    <xdr:ext cx="2105025" cy="13049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19050</xdr:colOff>
      <xdr:row>64</xdr:row>
      <xdr:rowOff>85725</xdr:rowOff>
    </xdr:from>
    <xdr:ext cx="2105025" cy="1304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333375</xdr:colOff>
      <xdr:row>127</xdr:row>
      <xdr:rowOff>123825</xdr:rowOff>
    </xdr:from>
    <xdr:ext cx="6438900" cy="7953375"/>
    <xdr:grpSp>
      <xdr:nvGrpSpPr>
        <xdr:cNvPr id="2" name="Shape 2" title="Drawing"/>
        <xdr:cNvGrpSpPr/>
      </xdr:nvGrpSpPr>
      <xdr:grpSpPr>
        <a:xfrm>
          <a:off x="953900" y="412235"/>
          <a:ext cx="6421225" cy="6426200"/>
          <a:chOff x="953900" y="412235"/>
          <a:chExt cx="6421225" cy="6426200"/>
        </a:xfrm>
      </xdr:grpSpPr>
      <xdr:sp>
        <xdr:nvSpPr>
          <xdr:cNvPr id="3" name="Shape 3"/>
          <xdr:cNvSpPr/>
        </xdr:nvSpPr>
        <xdr:spPr>
          <a:xfrm>
            <a:off x="953900" y="412235"/>
            <a:ext cx="5975200" cy="6426200"/>
          </a:xfrm>
          <a:custGeom>
            <a:rect b="b" l="l" r="r" t="t"/>
            <a:pathLst>
              <a:path extrusionOk="0" h="257048" w="239008">
                <a:moveTo>
                  <a:pt x="0" y="782"/>
                </a:moveTo>
                <a:cubicBezTo>
                  <a:pt x="15666" y="-1458"/>
                  <a:pt x="31679" y="1719"/>
                  <a:pt x="47393" y="3593"/>
                </a:cubicBezTo>
                <a:cubicBezTo>
                  <a:pt x="73248" y="6676"/>
                  <a:pt x="99060" y="10113"/>
                  <a:pt x="124910" y="13232"/>
                </a:cubicBezTo>
                <a:cubicBezTo>
                  <a:pt x="143030" y="15419"/>
                  <a:pt x="161078" y="18176"/>
                  <a:pt x="179131" y="20864"/>
                </a:cubicBezTo>
                <a:cubicBezTo>
                  <a:pt x="192590" y="22868"/>
                  <a:pt x="208003" y="21942"/>
                  <a:pt x="218893" y="30101"/>
                </a:cubicBezTo>
                <a:cubicBezTo>
                  <a:pt x="224020" y="33943"/>
                  <a:pt x="225138" y="41351"/>
                  <a:pt x="227328" y="47372"/>
                </a:cubicBezTo>
                <a:cubicBezTo>
                  <a:pt x="232858" y="62574"/>
                  <a:pt x="236305" y="78655"/>
                  <a:pt x="237771" y="94765"/>
                </a:cubicBezTo>
                <a:cubicBezTo>
                  <a:pt x="241999" y="141228"/>
                  <a:pt x="236044" y="200676"/>
                  <a:pt x="199213" y="229315"/>
                </a:cubicBezTo>
                <a:cubicBezTo>
                  <a:pt x="169940" y="252078"/>
                  <a:pt x="128254" y="255823"/>
                  <a:pt x="91172" y="255823"/>
                </a:cubicBezTo>
                <a:cubicBezTo>
                  <a:pt x="75240" y="255823"/>
                  <a:pt x="59187" y="258197"/>
                  <a:pt x="43377" y="256224"/>
                </a:cubicBezTo>
                <a:cubicBezTo>
                  <a:pt x="36607" y="255379"/>
                  <a:pt x="30426" y="251724"/>
                  <a:pt x="23697" y="250601"/>
                </a:cubicBezTo>
                <a:cubicBezTo>
                  <a:pt x="17082" y="249497"/>
                  <a:pt x="10321" y="251806"/>
                  <a:pt x="3615" y="25180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1074375" y="6717425"/>
            <a:ext cx="492025" cy="120500"/>
          </a:xfrm>
          <a:custGeom>
            <a:rect b="b" l="l" r="r" t="t"/>
            <a:pathLst>
              <a:path extrusionOk="0" h="4820" w="19681">
                <a:moveTo>
                  <a:pt x="19681" y="4820"/>
                </a:moveTo>
                <a:cubicBezTo>
                  <a:pt x="13019" y="3709"/>
                  <a:pt x="6754" y="0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1064350" y="6466400"/>
            <a:ext cx="441800" cy="251025"/>
          </a:xfrm>
          <a:custGeom>
            <a:rect b="b" l="l" r="r" t="t"/>
            <a:pathLst>
              <a:path extrusionOk="0" h="10041" w="17672">
                <a:moveTo>
                  <a:pt x="0" y="10041"/>
                </a:moveTo>
                <a:cubicBezTo>
                  <a:pt x="5809" y="6555"/>
                  <a:pt x="14639" y="6058"/>
                  <a:pt x="17672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6" name="Shape 6"/>
          <xdr:cNvSpPr/>
        </xdr:nvSpPr>
        <xdr:spPr>
          <a:xfrm>
            <a:off x="6255550" y="3333600"/>
            <a:ext cx="953875" cy="170700"/>
          </a:xfrm>
          <a:custGeom>
            <a:rect b="b" l="l" r="r" t="t"/>
            <a:pathLst>
              <a:path extrusionOk="0" h="6828" w="38155">
                <a:moveTo>
                  <a:pt x="38155" y="0"/>
                </a:moveTo>
                <a:cubicBezTo>
                  <a:pt x="25335" y="1604"/>
                  <a:pt x="12613" y="4026"/>
                  <a:pt x="0" y="6828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6606975" y="3092625"/>
            <a:ext cx="221050" cy="632575"/>
          </a:xfrm>
          <a:custGeom>
            <a:rect b="b" l="l" r="r" t="t"/>
            <a:pathLst>
              <a:path extrusionOk="0" h="25303" w="8842">
                <a:moveTo>
                  <a:pt x="0" y="0"/>
                </a:moveTo>
                <a:cubicBezTo>
                  <a:pt x="8934" y="0"/>
                  <a:pt x="8836" y="16369"/>
                  <a:pt x="8836" y="25303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8" name="Shape 8"/>
          <xdr:cNvSpPr/>
        </xdr:nvSpPr>
        <xdr:spPr>
          <a:xfrm>
            <a:off x="6175200" y="2942000"/>
            <a:ext cx="1199925" cy="837350"/>
          </a:xfrm>
          <a:custGeom>
            <a:rect b="b" l="l" r="r" t="t"/>
            <a:pathLst>
              <a:path extrusionOk="0" h="33494" w="47997">
                <a:moveTo>
                  <a:pt x="4820" y="22091"/>
                </a:moveTo>
                <a:cubicBezTo>
                  <a:pt x="7506" y="15823"/>
                  <a:pt x="13526" y="11456"/>
                  <a:pt x="18878" y="7230"/>
                </a:cubicBezTo>
                <a:cubicBezTo>
                  <a:pt x="22554" y="4327"/>
                  <a:pt x="26243" y="0"/>
                  <a:pt x="30927" y="0"/>
                </a:cubicBezTo>
                <a:cubicBezTo>
                  <a:pt x="38333" y="0"/>
                  <a:pt x="46748" y="7128"/>
                  <a:pt x="47796" y="14460"/>
                </a:cubicBezTo>
                <a:cubicBezTo>
                  <a:pt x="49410" y="25745"/>
                  <a:pt x="30609" y="34597"/>
                  <a:pt x="19279" y="33337"/>
                </a:cubicBezTo>
                <a:cubicBezTo>
                  <a:pt x="10965" y="32412"/>
                  <a:pt x="0" y="25636"/>
                  <a:pt x="0" y="17271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0</xdr:col>
      <xdr:colOff>161925</xdr:colOff>
      <xdr:row>3</xdr:row>
      <xdr:rowOff>38100</xdr:rowOff>
    </xdr:from>
    <xdr:ext cx="4000500" cy="81915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38</xdr:row>
      <xdr:rowOff>38100</xdr:rowOff>
    </xdr:from>
    <xdr:ext cx="4086225" cy="72390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75</xdr:row>
      <xdr:rowOff>47625</xdr:rowOff>
    </xdr:from>
    <xdr:ext cx="3790950" cy="819150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142875</xdr:colOff>
      <xdr:row>9</xdr:row>
      <xdr:rowOff>57150</xdr:rowOff>
    </xdr:from>
    <xdr:ext cx="1981200" cy="1238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85725</xdr:colOff>
      <xdr:row>27</xdr:row>
      <xdr:rowOff>123825</xdr:rowOff>
    </xdr:from>
    <xdr:ext cx="2105025" cy="1304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19050</xdr:colOff>
      <xdr:row>44</xdr:row>
      <xdr:rowOff>85725</xdr:rowOff>
    </xdr:from>
    <xdr:ext cx="2105025" cy="13049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19050</xdr:colOff>
      <xdr:row>64</xdr:row>
      <xdr:rowOff>85725</xdr:rowOff>
    </xdr:from>
    <xdr:ext cx="2105025" cy="13049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333375</xdr:colOff>
      <xdr:row>127</xdr:row>
      <xdr:rowOff>123825</xdr:rowOff>
    </xdr:from>
    <xdr:ext cx="6438900" cy="7953375"/>
    <xdr:grpSp>
      <xdr:nvGrpSpPr>
        <xdr:cNvPr id="2" name="Shape 2" title="Drawing"/>
        <xdr:cNvGrpSpPr/>
      </xdr:nvGrpSpPr>
      <xdr:grpSpPr>
        <a:xfrm>
          <a:off x="953900" y="412235"/>
          <a:ext cx="6421225" cy="6426200"/>
          <a:chOff x="953900" y="412235"/>
          <a:chExt cx="6421225" cy="6426200"/>
        </a:xfrm>
      </xdr:grpSpPr>
      <xdr:sp>
        <xdr:nvSpPr>
          <xdr:cNvPr id="3" name="Shape 3"/>
          <xdr:cNvSpPr/>
        </xdr:nvSpPr>
        <xdr:spPr>
          <a:xfrm>
            <a:off x="953900" y="412235"/>
            <a:ext cx="5975200" cy="6426200"/>
          </a:xfrm>
          <a:custGeom>
            <a:rect b="b" l="l" r="r" t="t"/>
            <a:pathLst>
              <a:path extrusionOk="0" h="257048" w="239008">
                <a:moveTo>
                  <a:pt x="0" y="782"/>
                </a:moveTo>
                <a:cubicBezTo>
                  <a:pt x="15666" y="-1458"/>
                  <a:pt x="31679" y="1719"/>
                  <a:pt x="47393" y="3593"/>
                </a:cubicBezTo>
                <a:cubicBezTo>
                  <a:pt x="73248" y="6676"/>
                  <a:pt x="99060" y="10113"/>
                  <a:pt x="124910" y="13232"/>
                </a:cubicBezTo>
                <a:cubicBezTo>
                  <a:pt x="143030" y="15419"/>
                  <a:pt x="161078" y="18176"/>
                  <a:pt x="179131" y="20864"/>
                </a:cubicBezTo>
                <a:cubicBezTo>
                  <a:pt x="192590" y="22868"/>
                  <a:pt x="208003" y="21942"/>
                  <a:pt x="218893" y="30101"/>
                </a:cubicBezTo>
                <a:cubicBezTo>
                  <a:pt x="224020" y="33943"/>
                  <a:pt x="225138" y="41351"/>
                  <a:pt x="227328" y="47372"/>
                </a:cubicBezTo>
                <a:cubicBezTo>
                  <a:pt x="232858" y="62574"/>
                  <a:pt x="236305" y="78655"/>
                  <a:pt x="237771" y="94765"/>
                </a:cubicBezTo>
                <a:cubicBezTo>
                  <a:pt x="241999" y="141228"/>
                  <a:pt x="236044" y="200676"/>
                  <a:pt x="199213" y="229315"/>
                </a:cubicBezTo>
                <a:cubicBezTo>
                  <a:pt x="169940" y="252078"/>
                  <a:pt x="128254" y="255823"/>
                  <a:pt x="91172" y="255823"/>
                </a:cubicBezTo>
                <a:cubicBezTo>
                  <a:pt x="75240" y="255823"/>
                  <a:pt x="59187" y="258197"/>
                  <a:pt x="43377" y="256224"/>
                </a:cubicBezTo>
                <a:cubicBezTo>
                  <a:pt x="36607" y="255379"/>
                  <a:pt x="30426" y="251724"/>
                  <a:pt x="23697" y="250601"/>
                </a:cubicBezTo>
                <a:cubicBezTo>
                  <a:pt x="17082" y="249497"/>
                  <a:pt x="10321" y="251806"/>
                  <a:pt x="3615" y="25180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1074375" y="6717425"/>
            <a:ext cx="492025" cy="120500"/>
          </a:xfrm>
          <a:custGeom>
            <a:rect b="b" l="l" r="r" t="t"/>
            <a:pathLst>
              <a:path extrusionOk="0" h="4820" w="19681">
                <a:moveTo>
                  <a:pt x="19681" y="4820"/>
                </a:moveTo>
                <a:cubicBezTo>
                  <a:pt x="13019" y="3709"/>
                  <a:pt x="6754" y="0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1064350" y="6466400"/>
            <a:ext cx="441800" cy="251025"/>
          </a:xfrm>
          <a:custGeom>
            <a:rect b="b" l="l" r="r" t="t"/>
            <a:pathLst>
              <a:path extrusionOk="0" h="10041" w="17672">
                <a:moveTo>
                  <a:pt x="0" y="10041"/>
                </a:moveTo>
                <a:cubicBezTo>
                  <a:pt x="5809" y="6555"/>
                  <a:pt x="14639" y="6058"/>
                  <a:pt x="17672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6" name="Shape 6"/>
          <xdr:cNvSpPr/>
        </xdr:nvSpPr>
        <xdr:spPr>
          <a:xfrm>
            <a:off x="6255550" y="3333600"/>
            <a:ext cx="953875" cy="170700"/>
          </a:xfrm>
          <a:custGeom>
            <a:rect b="b" l="l" r="r" t="t"/>
            <a:pathLst>
              <a:path extrusionOk="0" h="6828" w="38155">
                <a:moveTo>
                  <a:pt x="38155" y="0"/>
                </a:moveTo>
                <a:cubicBezTo>
                  <a:pt x="25335" y="1604"/>
                  <a:pt x="12613" y="4026"/>
                  <a:pt x="0" y="6828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6606975" y="3092625"/>
            <a:ext cx="221050" cy="632575"/>
          </a:xfrm>
          <a:custGeom>
            <a:rect b="b" l="l" r="r" t="t"/>
            <a:pathLst>
              <a:path extrusionOk="0" h="25303" w="8842">
                <a:moveTo>
                  <a:pt x="0" y="0"/>
                </a:moveTo>
                <a:cubicBezTo>
                  <a:pt x="8934" y="0"/>
                  <a:pt x="8836" y="16369"/>
                  <a:pt x="8836" y="25303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8" name="Shape 8"/>
          <xdr:cNvSpPr/>
        </xdr:nvSpPr>
        <xdr:spPr>
          <a:xfrm>
            <a:off x="6175200" y="2942000"/>
            <a:ext cx="1199925" cy="837350"/>
          </a:xfrm>
          <a:custGeom>
            <a:rect b="b" l="l" r="r" t="t"/>
            <a:pathLst>
              <a:path extrusionOk="0" h="33494" w="47997">
                <a:moveTo>
                  <a:pt x="4820" y="22091"/>
                </a:moveTo>
                <a:cubicBezTo>
                  <a:pt x="7506" y="15823"/>
                  <a:pt x="13526" y="11456"/>
                  <a:pt x="18878" y="7230"/>
                </a:cubicBezTo>
                <a:cubicBezTo>
                  <a:pt x="22554" y="4327"/>
                  <a:pt x="26243" y="0"/>
                  <a:pt x="30927" y="0"/>
                </a:cubicBezTo>
                <a:cubicBezTo>
                  <a:pt x="38333" y="0"/>
                  <a:pt x="46748" y="7128"/>
                  <a:pt x="47796" y="14460"/>
                </a:cubicBezTo>
                <a:cubicBezTo>
                  <a:pt x="49410" y="25745"/>
                  <a:pt x="30609" y="34597"/>
                  <a:pt x="19279" y="33337"/>
                </a:cubicBezTo>
                <a:cubicBezTo>
                  <a:pt x="10965" y="32412"/>
                  <a:pt x="0" y="25636"/>
                  <a:pt x="0" y="17271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0</xdr:col>
      <xdr:colOff>161925</xdr:colOff>
      <xdr:row>3</xdr:row>
      <xdr:rowOff>38100</xdr:rowOff>
    </xdr:from>
    <xdr:ext cx="4000500" cy="81915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38</xdr:row>
      <xdr:rowOff>38100</xdr:rowOff>
    </xdr:from>
    <xdr:ext cx="4086225" cy="72390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75</xdr:row>
      <xdr:rowOff>47625</xdr:rowOff>
    </xdr:from>
    <xdr:ext cx="3790950" cy="819150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88"/>
    <col customWidth="1" min="3" max="3" width="6.0"/>
    <col customWidth="1" min="4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5"/>
      <c r="T3" s="6"/>
      <c r="U3" s="2"/>
      <c r="V3" s="2"/>
      <c r="W3" s="2"/>
      <c r="X3" s="2"/>
      <c r="Y3" s="2"/>
      <c r="Z3" s="2"/>
    </row>
    <row r="4">
      <c r="B4" s="1"/>
      <c r="C4" s="2"/>
      <c r="D4" s="2"/>
      <c r="E4" s="2"/>
      <c r="F4" s="2"/>
      <c r="K4" s="2"/>
      <c r="L4" s="2"/>
      <c r="M4" s="2"/>
      <c r="N4" s="2"/>
      <c r="O4" s="2"/>
      <c r="P4" s="2"/>
      <c r="Q4" s="2"/>
      <c r="R4" s="2"/>
      <c r="S4" s="5"/>
      <c r="T4" s="6"/>
      <c r="U4" s="2"/>
      <c r="V4" s="2"/>
      <c r="W4" s="2"/>
      <c r="X4" s="2"/>
      <c r="Y4" s="2"/>
      <c r="Z4" s="2"/>
    </row>
    <row r="5">
      <c r="K5" s="2"/>
      <c r="L5" s="2"/>
      <c r="M5" s="2"/>
      <c r="N5" s="2"/>
      <c r="O5" s="2"/>
      <c r="P5" s="2"/>
      <c r="Q5" s="2"/>
      <c r="R5" s="2"/>
      <c r="S5" s="5"/>
      <c r="T5" s="6"/>
      <c r="U5" s="2"/>
      <c r="V5" s="2"/>
      <c r="W5" s="2"/>
      <c r="X5" s="2"/>
      <c r="Y5" s="2"/>
      <c r="Z5" s="2"/>
    </row>
    <row r="6">
      <c r="K6" s="2"/>
      <c r="L6" s="2"/>
      <c r="M6" s="2"/>
      <c r="N6" s="2"/>
      <c r="O6" s="2"/>
      <c r="P6" s="2"/>
      <c r="Q6" s="2"/>
      <c r="R6" s="2"/>
      <c r="S6" s="5"/>
      <c r="T6" s="6"/>
      <c r="U6" s="2"/>
      <c r="V6" s="2"/>
      <c r="W6" s="2"/>
      <c r="X6" s="2"/>
      <c r="Y6" s="2"/>
      <c r="Z6" s="2"/>
    </row>
    <row r="7">
      <c r="K7" s="2"/>
      <c r="L7" s="2"/>
      <c r="M7" s="2"/>
      <c r="N7" s="2"/>
      <c r="O7" s="2"/>
      <c r="P7" s="2"/>
      <c r="Q7" s="2"/>
      <c r="R7" s="2"/>
      <c r="S7" s="5"/>
      <c r="T7" s="6"/>
      <c r="U7" s="2"/>
      <c r="V7" s="2"/>
      <c r="W7" s="2"/>
      <c r="X7" s="2"/>
      <c r="Y7" s="2"/>
      <c r="Z7" s="2"/>
    </row>
    <row r="8">
      <c r="K8" s="2"/>
      <c r="L8" s="2"/>
      <c r="M8" s="2"/>
      <c r="N8" s="2"/>
      <c r="O8" s="2"/>
      <c r="P8" s="2"/>
      <c r="Q8" s="2"/>
      <c r="R8" s="2"/>
      <c r="S8" s="5"/>
      <c r="T8" s="6"/>
      <c r="U8" s="2"/>
      <c r="V8" s="2"/>
      <c r="W8" s="2"/>
      <c r="X8" s="2"/>
      <c r="Y8" s="2"/>
      <c r="Z8" s="2"/>
    </row>
    <row r="9">
      <c r="B9" s="1"/>
      <c r="C9" s="2"/>
      <c r="D9" s="2"/>
      <c r="E9" s="2"/>
      <c r="F9" s="2"/>
      <c r="G9" s="7" t="s">
        <v>1</v>
      </c>
      <c r="H9" s="8"/>
      <c r="I9" s="8"/>
      <c r="J9" s="8"/>
      <c r="K9" s="2"/>
      <c r="L9" s="2"/>
      <c r="M9" s="2"/>
      <c r="N9" s="2"/>
      <c r="O9" s="2"/>
      <c r="P9" s="2"/>
      <c r="Q9" s="2"/>
      <c r="R9" s="2"/>
      <c r="S9" s="5"/>
      <c r="T9" s="6"/>
      <c r="U9" s="2"/>
      <c r="V9" s="2"/>
      <c r="W9" s="2"/>
      <c r="X9" s="2"/>
      <c r="Y9" s="2"/>
      <c r="Z9" s="2"/>
    </row>
    <row r="10">
      <c r="B10" s="1"/>
      <c r="C10" s="2"/>
      <c r="D10" s="2"/>
      <c r="E10" s="2"/>
      <c r="F10" s="2"/>
      <c r="G10" s="2"/>
      <c r="H10" s="9" t="s">
        <v>2</v>
      </c>
      <c r="I10" s="10" t="s">
        <v>3</v>
      </c>
      <c r="J10" s="2"/>
      <c r="K10" s="2"/>
      <c r="L10" s="2"/>
      <c r="M10" s="2"/>
      <c r="N10" s="2"/>
      <c r="O10" s="2"/>
      <c r="P10" s="2"/>
      <c r="Q10" s="2"/>
      <c r="R10" s="2"/>
      <c r="S10" s="5"/>
      <c r="T10" s="6"/>
      <c r="U10" s="2"/>
      <c r="V10" s="2"/>
      <c r="W10" s="2"/>
      <c r="X10" s="2"/>
      <c r="Y10" s="2"/>
      <c r="Z10" s="2"/>
    </row>
    <row r="11">
      <c r="B11" s="11" t="s">
        <v>4</v>
      </c>
      <c r="C11" s="12">
        <f t="shared" ref="C11:G11" si="1">Rand()</f>
        <v>0.1586713489</v>
      </c>
      <c r="D11" s="13">
        <f t="shared" si="1"/>
        <v>0.3263201967</v>
      </c>
      <c r="E11" s="13">
        <f t="shared" si="1"/>
        <v>0.2747176133</v>
      </c>
      <c r="F11" s="13">
        <f t="shared" si="1"/>
        <v>0.7637994158</v>
      </c>
      <c r="G11" s="14">
        <f t="shared" si="1"/>
        <v>0.6395604904</v>
      </c>
      <c r="H11" s="15"/>
      <c r="I11" s="16"/>
      <c r="J11" s="2"/>
      <c r="K11" s="2"/>
      <c r="L11" s="2"/>
      <c r="M11" s="2"/>
      <c r="N11" s="2"/>
      <c r="O11" s="2"/>
      <c r="P11" s="2"/>
      <c r="Q11" s="2"/>
      <c r="R11" s="2"/>
      <c r="S11" s="5"/>
      <c r="T11" s="6"/>
      <c r="U11" s="2"/>
      <c r="V11" s="2"/>
      <c r="W11" s="2"/>
      <c r="X11" s="2"/>
      <c r="Y11" s="2"/>
      <c r="Z11" s="2"/>
    </row>
    <row r="12">
      <c r="B12" s="1"/>
      <c r="C12" s="17">
        <f t="shared" ref="C12:G12" si="2">Rand()</f>
        <v>0.3043214273</v>
      </c>
      <c r="D12" s="16">
        <f t="shared" si="2"/>
        <v>0.4319326902</v>
      </c>
      <c r="E12" s="16">
        <f t="shared" si="2"/>
        <v>0.2364740262</v>
      </c>
      <c r="F12" s="16">
        <f t="shared" si="2"/>
        <v>0.4207689483</v>
      </c>
      <c r="G12" s="18">
        <f t="shared" si="2"/>
        <v>0.06676820367</v>
      </c>
      <c r="H12" s="16"/>
      <c r="I12" s="16"/>
      <c r="J12" s="2"/>
      <c r="K12" s="2"/>
      <c r="L12" s="2"/>
      <c r="M12" s="2"/>
      <c r="N12" s="2"/>
      <c r="O12" s="2"/>
      <c r="P12" s="2"/>
      <c r="Q12" s="2"/>
      <c r="R12" s="2"/>
      <c r="S12" s="5"/>
      <c r="T12" s="6"/>
      <c r="U12" s="2"/>
      <c r="V12" s="2"/>
      <c r="W12" s="2"/>
      <c r="X12" s="2"/>
      <c r="Y12" s="2"/>
      <c r="Z12" s="2"/>
    </row>
    <row r="13">
      <c r="B13" s="1"/>
      <c r="C13" s="17">
        <f t="shared" ref="C13:G13" si="3">Rand()</f>
        <v>0.6003801998</v>
      </c>
      <c r="D13" s="16">
        <f t="shared" si="3"/>
        <v>0.4085843484</v>
      </c>
      <c r="E13" s="16">
        <f t="shared" si="3"/>
        <v>0.4092459468</v>
      </c>
      <c r="F13" s="16">
        <f t="shared" si="3"/>
        <v>0.5473321874</v>
      </c>
      <c r="G13" s="18">
        <f t="shared" si="3"/>
        <v>0.7038985556</v>
      </c>
      <c r="H13" s="16"/>
      <c r="I13" s="16"/>
      <c r="J13" s="2"/>
      <c r="K13" s="2"/>
      <c r="L13" s="2"/>
      <c r="M13" s="2"/>
      <c r="N13" s="2"/>
      <c r="O13" s="2"/>
      <c r="P13" s="2"/>
      <c r="Q13" s="2"/>
      <c r="R13" s="2"/>
      <c r="S13" s="5"/>
      <c r="T13" s="6"/>
      <c r="U13" s="2"/>
      <c r="V13" s="2"/>
      <c r="W13" s="2"/>
      <c r="X13" s="2"/>
      <c r="Y13" s="2"/>
      <c r="Z13" s="2"/>
    </row>
    <row r="14">
      <c r="B14" s="1"/>
      <c r="C14" s="17">
        <f t="shared" ref="C14:G14" si="4">Rand()</f>
        <v>0.7578571176</v>
      </c>
      <c r="D14" s="16">
        <f t="shared" si="4"/>
        <v>0.1501045564</v>
      </c>
      <c r="E14" s="16">
        <f t="shared" si="4"/>
        <v>0.06253102451</v>
      </c>
      <c r="F14" s="16">
        <f t="shared" si="4"/>
        <v>0.1742860765</v>
      </c>
      <c r="G14" s="18">
        <f t="shared" si="4"/>
        <v>0.06866412706</v>
      </c>
      <c r="H14" s="16"/>
      <c r="I14" s="16"/>
      <c r="J14" s="2"/>
      <c r="K14" s="2"/>
      <c r="L14" s="2"/>
      <c r="M14" s="2"/>
      <c r="N14" s="2"/>
      <c r="O14" s="2"/>
      <c r="P14" s="2"/>
      <c r="Q14" s="2"/>
      <c r="R14" s="2"/>
      <c r="S14" s="5"/>
      <c r="T14" s="6"/>
      <c r="U14" s="2"/>
      <c r="V14" s="2"/>
      <c r="W14" s="2"/>
      <c r="X14" s="2"/>
      <c r="Y14" s="2"/>
      <c r="Z14" s="2"/>
    </row>
    <row r="15">
      <c r="B15" s="1"/>
      <c r="C15" s="19">
        <f t="shared" ref="C15:G15" si="5">Rand()</f>
        <v>0.08009020908</v>
      </c>
      <c r="D15" s="20">
        <f t="shared" si="5"/>
        <v>0.970199366</v>
      </c>
      <c r="E15" s="20">
        <f t="shared" si="5"/>
        <v>0.5867505568</v>
      </c>
      <c r="F15" s="20">
        <f t="shared" si="5"/>
        <v>0.09869324986</v>
      </c>
      <c r="G15" s="21">
        <f t="shared" si="5"/>
        <v>0.171007386</v>
      </c>
      <c r="H15" s="16"/>
      <c r="I15" s="16"/>
      <c r="J15" s="2"/>
      <c r="K15" s="2"/>
      <c r="L15" s="2"/>
      <c r="M15" s="2"/>
      <c r="N15" s="2"/>
      <c r="O15" s="2"/>
      <c r="P15" s="2"/>
      <c r="Q15" s="2"/>
      <c r="R15" s="2"/>
      <c r="S15" s="5"/>
      <c r="T15" s="6"/>
      <c r="U15" s="2"/>
      <c r="V15" s="2"/>
      <c r="W15" s="2"/>
      <c r="X15" s="2"/>
      <c r="Y15" s="2"/>
      <c r="Z15" s="2"/>
    </row>
    <row r="16">
      <c r="I16" s="2"/>
      <c r="J16" s="2"/>
      <c r="K16" s="2"/>
      <c r="L16" s="2"/>
      <c r="M16" s="2"/>
      <c r="N16" s="2"/>
      <c r="O16" s="2"/>
      <c r="P16" s="2"/>
      <c r="Q16" s="2"/>
      <c r="R16" s="2"/>
      <c r="S16" s="5"/>
      <c r="T16" s="6"/>
      <c r="U16" s="2"/>
      <c r="V16" s="2"/>
      <c r="W16" s="2"/>
      <c r="X16" s="2"/>
      <c r="Y16" s="2"/>
      <c r="Z16" s="2"/>
    </row>
    <row r="17">
      <c r="I17" s="2"/>
      <c r="J17" s="2"/>
      <c r="K17" s="2"/>
      <c r="L17" s="2"/>
      <c r="M17" s="2"/>
      <c r="N17" s="2"/>
      <c r="O17" s="2"/>
      <c r="P17" s="2"/>
      <c r="Q17" s="2"/>
      <c r="R17" s="2"/>
      <c r="S17" s="5"/>
      <c r="T17" s="6"/>
      <c r="U17" s="2"/>
      <c r="V17" s="2"/>
      <c r="W17" s="2"/>
      <c r="X17" s="2"/>
      <c r="Y17" s="2"/>
      <c r="Z17" s="2"/>
    </row>
    <row r="18">
      <c r="A18" s="22" t="s">
        <v>5</v>
      </c>
      <c r="F18" s="23" t="s">
        <v>6</v>
      </c>
      <c r="G18" s="24">
        <f>1E-16</f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5"/>
      <c r="T18" s="6"/>
      <c r="U18" s="2"/>
      <c r="V18" s="2"/>
      <c r="W18" s="2"/>
      <c r="X18" s="2"/>
      <c r="Y18" s="2"/>
      <c r="Z18" s="2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6"/>
      <c r="T19" s="27"/>
      <c r="U19" s="25"/>
      <c r="V19" s="25"/>
      <c r="W19" s="25"/>
      <c r="X19" s="25"/>
      <c r="Y19" s="25"/>
      <c r="Z19" s="25"/>
    </row>
    <row r="20">
      <c r="A20" s="25"/>
      <c r="B20" s="11" t="s">
        <v>7</v>
      </c>
      <c r="C20" s="28"/>
      <c r="D20" s="29"/>
      <c r="E20" s="29"/>
      <c r="F20" s="29"/>
      <c r="G20" s="30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6"/>
      <c r="T20" s="27"/>
      <c r="U20" s="25"/>
      <c r="V20" s="25"/>
      <c r="W20" s="25"/>
      <c r="X20" s="25"/>
      <c r="Y20" s="25"/>
      <c r="Z20" s="25"/>
    </row>
    <row r="21">
      <c r="A21" s="25"/>
      <c r="B21" s="11" t="s">
        <v>8</v>
      </c>
      <c r="C21" s="31"/>
      <c r="D21" s="32"/>
      <c r="E21" s="32"/>
      <c r="F21" s="32"/>
      <c r="G21" s="3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6"/>
      <c r="T21" s="27"/>
      <c r="U21" s="25"/>
      <c r="V21" s="25"/>
      <c r="W21" s="25"/>
      <c r="X21" s="25"/>
      <c r="Y21" s="25"/>
      <c r="Z21" s="25"/>
    </row>
    <row r="22">
      <c r="A22" s="25"/>
      <c r="B22" s="25"/>
      <c r="C22" s="31"/>
      <c r="D22" s="32"/>
      <c r="E22" s="32"/>
      <c r="F22" s="32"/>
      <c r="G22" s="33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6"/>
      <c r="T22" s="27"/>
      <c r="U22" s="25"/>
      <c r="V22" s="25"/>
      <c r="W22" s="25"/>
      <c r="X22" s="25"/>
      <c r="Y22" s="25"/>
      <c r="Z22" s="25"/>
    </row>
    <row r="23">
      <c r="A23" s="25"/>
      <c r="B23" s="25"/>
      <c r="C23" s="31"/>
      <c r="D23" s="32"/>
      <c r="E23" s="32"/>
      <c r="F23" s="32"/>
      <c r="G23" s="33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6"/>
      <c r="T23" s="27"/>
      <c r="U23" s="25"/>
      <c r="V23" s="25"/>
      <c r="W23" s="25"/>
      <c r="X23" s="25"/>
      <c r="Y23" s="25"/>
      <c r="Z23" s="25"/>
    </row>
    <row r="24">
      <c r="A24" s="25"/>
      <c r="B24" s="25"/>
      <c r="C24" s="34"/>
      <c r="D24" s="35"/>
      <c r="E24" s="35"/>
      <c r="F24" s="35"/>
      <c r="G24" s="3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r="T24" s="27"/>
      <c r="U24" s="25"/>
      <c r="V24" s="25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5"/>
      <c r="T25" s="6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5"/>
      <c r="T26" s="6"/>
      <c r="U26" s="2"/>
      <c r="V26" s="2"/>
      <c r="W26" s="2"/>
      <c r="X26" s="2"/>
      <c r="Y26" s="2"/>
      <c r="Z26" s="2"/>
    </row>
    <row r="27">
      <c r="A27" s="37" t="s">
        <v>9</v>
      </c>
      <c r="E27" s="2"/>
      <c r="F27" s="23" t="s">
        <v>10</v>
      </c>
      <c r="G27" s="38">
        <v>0.5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5"/>
      <c r="T27" s="6"/>
      <c r="U27" s="2"/>
      <c r="V27" s="2"/>
      <c r="W27" s="2"/>
      <c r="X27" s="2"/>
      <c r="Y27" s="2"/>
      <c r="Z27" s="2"/>
    </row>
    <row r="28">
      <c r="E28" s="2"/>
      <c r="F28" s="23" t="s">
        <v>11</v>
      </c>
      <c r="G28" s="38">
        <v>0.1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5"/>
      <c r="T28" s="6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5"/>
      <c r="T29" s="6"/>
      <c r="U29" s="2"/>
      <c r="V29" s="2"/>
      <c r="W29" s="2"/>
      <c r="X29" s="2"/>
      <c r="Y29" s="2"/>
      <c r="Z29" s="2"/>
    </row>
    <row r="30">
      <c r="B30" s="23" t="s">
        <v>12</v>
      </c>
      <c r="C30" s="39"/>
      <c r="D30" s="40"/>
      <c r="E30" s="40"/>
      <c r="F30" s="40"/>
      <c r="G30" s="4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5"/>
      <c r="T30" s="6"/>
      <c r="U30" s="2"/>
      <c r="V30" s="2"/>
      <c r="W30" s="2"/>
      <c r="Z30" s="2"/>
    </row>
    <row r="31">
      <c r="B31" s="1"/>
      <c r="C31" s="42"/>
      <c r="D31" s="43"/>
      <c r="E31" s="43"/>
      <c r="F31" s="43"/>
      <c r="G31" s="4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5"/>
      <c r="T31" s="6"/>
      <c r="U31" s="2"/>
      <c r="V31" s="2"/>
      <c r="W31" s="2"/>
      <c r="Z31" s="2"/>
    </row>
    <row r="32">
      <c r="B32" s="1"/>
      <c r="C32" s="42"/>
      <c r="D32" s="43"/>
      <c r="E32" s="43"/>
      <c r="F32" s="43"/>
      <c r="G32" s="4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5"/>
      <c r="T32" s="6"/>
      <c r="U32" s="2"/>
      <c r="V32" s="2"/>
      <c r="W32" s="2"/>
      <c r="X32" s="2"/>
      <c r="Y32" s="2"/>
      <c r="Z32" s="2"/>
    </row>
    <row r="33">
      <c r="B33" s="1"/>
      <c r="C33" s="42"/>
      <c r="D33" s="43"/>
      <c r="E33" s="43"/>
      <c r="F33" s="43"/>
      <c r="G33" s="4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5"/>
      <c r="T33" s="6"/>
      <c r="U33" s="2"/>
      <c r="V33" s="2"/>
      <c r="W33" s="2"/>
      <c r="X33" s="2"/>
      <c r="Y33" s="2"/>
      <c r="Z33" s="2"/>
    </row>
    <row r="34">
      <c r="B34" s="1"/>
      <c r="C34" s="45"/>
      <c r="D34" s="46"/>
      <c r="E34" s="46"/>
      <c r="F34" s="46"/>
      <c r="G34" s="4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5"/>
      <c r="T34" s="6"/>
      <c r="U34" s="2"/>
      <c r="V34" s="2"/>
      <c r="W34" s="2"/>
      <c r="X34" s="2"/>
      <c r="Y34" s="2"/>
      <c r="Z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"/>
      <c r="T35" s="6"/>
      <c r="U35" s="2"/>
      <c r="V35" s="2"/>
      <c r="W35" s="2"/>
      <c r="X35" s="2"/>
      <c r="Y35" s="2"/>
      <c r="Z35" s="2"/>
    </row>
    <row r="36"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5"/>
      <c r="T36" s="6"/>
      <c r="U36" s="2"/>
      <c r="V36" s="2"/>
      <c r="W36" s="2"/>
      <c r="X36" s="2"/>
      <c r="Y36" s="2"/>
      <c r="Z36" s="2"/>
    </row>
    <row r="37">
      <c r="A37" s="3" t="s">
        <v>13</v>
      </c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11" t="s">
        <v>4</v>
      </c>
      <c r="C46" s="48">
        <f t="shared" ref="C46:G46" si="6">Rand()</f>
        <v>0.7809433626</v>
      </c>
      <c r="D46" s="49">
        <f t="shared" si="6"/>
        <v>0.7444107263</v>
      </c>
      <c r="E46" s="50">
        <f t="shared" si="6"/>
        <v>0.5570895952</v>
      </c>
      <c r="F46" s="51">
        <f t="shared" si="6"/>
        <v>0.7994796788</v>
      </c>
      <c r="G46" s="52">
        <f t="shared" si="6"/>
        <v>0.8163631548</v>
      </c>
      <c r="H46" s="53"/>
      <c r="I46" s="53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54">
        <f t="shared" ref="C47:G47" si="7">Rand()</f>
        <v>0.3816976903</v>
      </c>
      <c r="D47" s="55">
        <f t="shared" si="7"/>
        <v>0.2244911607</v>
      </c>
      <c r="E47" s="56">
        <f t="shared" si="7"/>
        <v>0.8366343169</v>
      </c>
      <c r="F47" s="57">
        <f t="shared" si="7"/>
        <v>0.3008538008</v>
      </c>
      <c r="G47" s="58">
        <f t="shared" si="7"/>
        <v>0.1903269087</v>
      </c>
      <c r="H47" s="53"/>
      <c r="I47" s="53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59">
        <f t="shared" ref="C48:G48" si="8">Rand()</f>
        <v>0.7669825649</v>
      </c>
      <c r="D48" s="60">
        <f t="shared" si="8"/>
        <v>0.4376670026</v>
      </c>
      <c r="E48" s="61">
        <f t="shared" si="8"/>
        <v>0.9722887678</v>
      </c>
      <c r="F48" s="62">
        <f t="shared" si="8"/>
        <v>0.4311740282</v>
      </c>
      <c r="G48" s="63">
        <f t="shared" si="8"/>
        <v>0.5553973969</v>
      </c>
      <c r="H48" s="53"/>
      <c r="I48" s="53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64">
        <f t="shared" ref="C49:G49" si="9">Rand()</f>
        <v>0.8269575278</v>
      </c>
      <c r="D49" s="65">
        <f t="shared" si="9"/>
        <v>0.6689537941</v>
      </c>
      <c r="E49" s="66">
        <f t="shared" si="9"/>
        <v>0.9871941865</v>
      </c>
      <c r="F49" s="67">
        <f t="shared" si="9"/>
        <v>0.05483163841</v>
      </c>
      <c r="G49" s="68">
        <f t="shared" si="9"/>
        <v>0.6315757574</v>
      </c>
      <c r="H49" s="53"/>
      <c r="I49" s="53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69">
        <f t="shared" ref="C50:G50" si="10">Rand()</f>
        <v>0.9415794043</v>
      </c>
      <c r="D50" s="70">
        <f t="shared" si="10"/>
        <v>0.1369471505</v>
      </c>
      <c r="E50" s="71">
        <f t="shared" si="10"/>
        <v>0.7330896765</v>
      </c>
      <c r="F50" s="72">
        <f t="shared" si="10"/>
        <v>0.4885360619</v>
      </c>
      <c r="G50" s="73">
        <f t="shared" si="10"/>
        <v>0.136821562</v>
      </c>
      <c r="H50" s="53"/>
      <c r="I50" s="53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74" t="s">
        <v>2</v>
      </c>
      <c r="C51" s="53">
        <f t="shared" ref="C51:G51" si="11">AVERAGE(C46:C50)</f>
        <v>0.73963211</v>
      </c>
      <c r="D51" s="53">
        <f t="shared" si="11"/>
        <v>0.4424939668</v>
      </c>
      <c r="E51" s="53">
        <f t="shared" si="11"/>
        <v>0.8172593086</v>
      </c>
      <c r="F51" s="53">
        <f t="shared" si="11"/>
        <v>0.4149750416</v>
      </c>
      <c r="G51" s="53">
        <f t="shared" si="11"/>
        <v>0.466096956</v>
      </c>
      <c r="H51" s="75" t="s">
        <v>1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76" t="s">
        <v>3</v>
      </c>
      <c r="C52" s="53">
        <f t="shared" ref="C52:G52" si="12">Var(C46:C50)</f>
        <v>0.04474503851</v>
      </c>
      <c r="D52" s="53">
        <f t="shared" si="12"/>
        <v>0.07083629076</v>
      </c>
      <c r="E52" s="53">
        <f t="shared" si="12"/>
        <v>0.03201504841</v>
      </c>
      <c r="F52" s="53">
        <f t="shared" si="12"/>
        <v>0.07406109384</v>
      </c>
      <c r="G52" s="53">
        <f t="shared" si="12"/>
        <v>0.08562890415</v>
      </c>
      <c r="H52" s="77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78"/>
      <c r="B54" s="78"/>
      <c r="C54" s="78"/>
      <c r="D54" s="78"/>
      <c r="E54" s="25"/>
      <c r="F54" s="79"/>
      <c r="G54" s="80"/>
      <c r="H54" s="80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78" t="s">
        <v>5</v>
      </c>
      <c r="E55" s="25"/>
      <c r="F55" s="79" t="s">
        <v>6</v>
      </c>
      <c r="G55" s="80">
        <f>1E-16</f>
        <v>0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81"/>
      <c r="T56" s="82"/>
      <c r="U56" s="25"/>
      <c r="V56" s="25"/>
      <c r="W56" s="25"/>
      <c r="X56" s="25"/>
      <c r="Y56" s="25"/>
      <c r="Z56" s="25"/>
    </row>
    <row r="57">
      <c r="A57" s="25"/>
      <c r="B57" s="79" t="s">
        <v>7</v>
      </c>
      <c r="C57" s="83"/>
      <c r="D57" s="84"/>
      <c r="E57" s="84"/>
      <c r="F57" s="84"/>
      <c r="G57" s="8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81"/>
      <c r="T57" s="82"/>
      <c r="U57" s="25"/>
      <c r="V57" s="25"/>
      <c r="W57" s="25"/>
      <c r="X57" s="25"/>
      <c r="Y57" s="25"/>
      <c r="Z57" s="25"/>
    </row>
    <row r="58">
      <c r="A58" s="25"/>
      <c r="B58" s="11" t="s">
        <v>14</v>
      </c>
      <c r="C58" s="86"/>
      <c r="D58" s="87"/>
      <c r="E58" s="87"/>
      <c r="F58" s="87"/>
      <c r="G58" s="88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81"/>
      <c r="T58" s="82"/>
      <c r="U58" s="25"/>
      <c r="V58" s="25"/>
      <c r="W58" s="25"/>
      <c r="X58" s="25"/>
      <c r="Y58" s="25"/>
      <c r="Z58" s="25"/>
    </row>
    <row r="59">
      <c r="A59" s="25"/>
      <c r="B59" s="25"/>
      <c r="C59" s="86"/>
      <c r="D59" s="87"/>
      <c r="E59" s="87"/>
      <c r="F59" s="87"/>
      <c r="G59" s="88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81"/>
      <c r="T59" s="82"/>
      <c r="U59" s="25"/>
      <c r="V59" s="25"/>
      <c r="W59" s="25"/>
      <c r="X59" s="25"/>
      <c r="Y59" s="25"/>
      <c r="Z59" s="25"/>
    </row>
    <row r="60">
      <c r="A60" s="25"/>
      <c r="B60" s="25"/>
      <c r="C60" s="86"/>
      <c r="D60" s="87"/>
      <c r="E60" s="87"/>
      <c r="F60" s="87"/>
      <c r="G60" s="88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81"/>
      <c r="T60" s="82"/>
      <c r="U60" s="25"/>
      <c r="V60" s="25"/>
      <c r="W60" s="25"/>
      <c r="X60" s="25"/>
      <c r="Y60" s="25"/>
      <c r="Z60" s="25"/>
    </row>
    <row r="61">
      <c r="A61" s="25"/>
      <c r="B61" s="25"/>
      <c r="C61" s="89"/>
      <c r="D61" s="90"/>
      <c r="E61" s="90"/>
      <c r="F61" s="90"/>
      <c r="G61" s="91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81"/>
      <c r="T61" s="82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92" t="s">
        <v>9</v>
      </c>
      <c r="E64" s="25"/>
      <c r="F64" s="79" t="s">
        <v>10</v>
      </c>
      <c r="G64" s="93">
        <v>0.5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E65" s="25"/>
      <c r="F65" s="79" t="s">
        <v>11</v>
      </c>
      <c r="G65" s="94">
        <v>-0.1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11" t="s">
        <v>15</v>
      </c>
      <c r="C67" s="28">
        <f t="shared" ref="C67:G67" si="13">$G$64*C57+$G$65</f>
        <v>-0.1</v>
      </c>
      <c r="D67" s="29">
        <f t="shared" si="13"/>
        <v>-0.1</v>
      </c>
      <c r="E67" s="29">
        <f t="shared" si="13"/>
        <v>-0.1</v>
      </c>
      <c r="F67" s="29">
        <f t="shared" si="13"/>
        <v>-0.1</v>
      </c>
      <c r="G67" s="30">
        <f t="shared" si="13"/>
        <v>-0.1</v>
      </c>
      <c r="H67" s="25"/>
      <c r="I67" s="25"/>
      <c r="J67" s="9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31">
        <f t="shared" ref="C68:G68" si="14">$G$64*C58+$G$65</f>
        <v>-0.1</v>
      </c>
      <c r="D68" s="32">
        <f t="shared" si="14"/>
        <v>-0.1</v>
      </c>
      <c r="E68" s="32">
        <f t="shared" si="14"/>
        <v>-0.1</v>
      </c>
      <c r="F68" s="32">
        <f t="shared" si="14"/>
        <v>-0.1</v>
      </c>
      <c r="G68" s="33">
        <f t="shared" si="14"/>
        <v>-0.1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31">
        <f t="shared" ref="C69:G69" si="15">$G$64*C59+$G$65</f>
        <v>-0.1</v>
      </c>
      <c r="D69" s="32">
        <f t="shared" si="15"/>
        <v>-0.1</v>
      </c>
      <c r="E69" s="32">
        <f t="shared" si="15"/>
        <v>-0.1</v>
      </c>
      <c r="F69" s="32">
        <f t="shared" si="15"/>
        <v>-0.1</v>
      </c>
      <c r="G69" s="33">
        <f t="shared" si="15"/>
        <v>-0.1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31">
        <f t="shared" ref="C70:G70" si="16">$G$64*C60+$G$65</f>
        <v>-0.1</v>
      </c>
      <c r="D70" s="32">
        <f t="shared" si="16"/>
        <v>-0.1</v>
      </c>
      <c r="E70" s="32">
        <f t="shared" si="16"/>
        <v>-0.1</v>
      </c>
      <c r="F70" s="32">
        <f t="shared" si="16"/>
        <v>-0.1</v>
      </c>
      <c r="G70" s="33">
        <f t="shared" si="16"/>
        <v>-0.1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34">
        <f t="shared" ref="C71:G71" si="17">$G$64*C61+$G$65</f>
        <v>-0.1</v>
      </c>
      <c r="D71" s="35">
        <f t="shared" si="17"/>
        <v>-0.1</v>
      </c>
      <c r="E71" s="35">
        <f t="shared" si="17"/>
        <v>-0.1</v>
      </c>
      <c r="F71" s="35">
        <f t="shared" si="17"/>
        <v>-0.1</v>
      </c>
      <c r="G71" s="36">
        <f t="shared" si="17"/>
        <v>-0.1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3" t="s">
        <v>16</v>
      </c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C81" s="25"/>
      <c r="D81" s="25"/>
      <c r="E81" s="25"/>
      <c r="F81" s="25"/>
      <c r="G81" s="96" t="s">
        <v>1</v>
      </c>
      <c r="H81" s="8"/>
      <c r="I81" s="8"/>
      <c r="J81" s="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C82" s="25"/>
      <c r="D82" s="25"/>
      <c r="E82" s="25"/>
      <c r="F82" s="25"/>
      <c r="G82" s="25"/>
      <c r="H82" s="25"/>
      <c r="I82" s="9" t="s">
        <v>17</v>
      </c>
      <c r="J82" s="97"/>
      <c r="K82" s="2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C83" s="79" t="s">
        <v>4</v>
      </c>
      <c r="D83" s="98">
        <f t="shared" ref="D83:H83" si="18">Rand()</f>
        <v>0.8575664562</v>
      </c>
      <c r="E83" s="99">
        <f t="shared" si="18"/>
        <v>0.7921952506</v>
      </c>
      <c r="F83" s="100">
        <f t="shared" si="18"/>
        <v>0.8740807292</v>
      </c>
      <c r="G83" s="101">
        <f t="shared" si="18"/>
        <v>0.7778001396</v>
      </c>
      <c r="H83" s="102">
        <f t="shared" si="18"/>
        <v>0.2845561047</v>
      </c>
      <c r="I83" s="103" t="s">
        <v>18</v>
      </c>
      <c r="J83" s="81"/>
      <c r="K83" s="2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C84" s="25"/>
      <c r="D84" s="104">
        <f t="shared" ref="D84:H84" si="19">Rand()</f>
        <v>0.7739528023</v>
      </c>
      <c r="E84" s="105">
        <f t="shared" si="19"/>
        <v>0.2099123477</v>
      </c>
      <c r="F84" s="106">
        <f t="shared" si="19"/>
        <v>0.0535028752</v>
      </c>
      <c r="G84" s="107">
        <f t="shared" si="19"/>
        <v>0.551501468</v>
      </c>
      <c r="H84" s="108">
        <f t="shared" si="19"/>
        <v>0.8567161693</v>
      </c>
      <c r="I84" s="16">
        <f t="shared" ref="I84:I87" si="21">SUMSQ(D84:H84)</f>
        <v>1.684045156</v>
      </c>
      <c r="J84" s="81"/>
      <c r="K84" s="2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C85" s="25"/>
      <c r="D85" s="109">
        <f t="shared" ref="D85:H85" si="20">Rand()</f>
        <v>0.7461043752</v>
      </c>
      <c r="E85" s="110">
        <f t="shared" si="20"/>
        <v>0.3091196033</v>
      </c>
      <c r="F85" s="111">
        <f t="shared" si="20"/>
        <v>0.7145966751</v>
      </c>
      <c r="G85" s="112">
        <f t="shared" si="20"/>
        <v>0.8918024454</v>
      </c>
      <c r="H85" s="113">
        <f t="shared" si="20"/>
        <v>0.4454910115</v>
      </c>
      <c r="I85" s="16">
        <f t="shared" si="21"/>
        <v>2.156648919</v>
      </c>
      <c r="J85" s="81"/>
      <c r="K85" s="2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C86" s="25"/>
      <c r="D86" s="114">
        <f t="shared" ref="D86:H86" si="22">Rand()</f>
        <v>0.517790692</v>
      </c>
      <c r="E86" s="115">
        <f t="shared" si="22"/>
        <v>0.8326868465</v>
      </c>
      <c r="F86" s="116">
        <f t="shared" si="22"/>
        <v>0.7064357028</v>
      </c>
      <c r="G86" s="117">
        <f t="shared" si="22"/>
        <v>0.7411464205</v>
      </c>
      <c r="H86" s="118">
        <f t="shared" si="22"/>
        <v>0.4227509252</v>
      </c>
      <c r="I86" s="16">
        <f t="shared" si="21"/>
        <v>2.188542349</v>
      </c>
      <c r="J86" s="81"/>
      <c r="K86" s="2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C87" s="25"/>
      <c r="D87" s="119">
        <f t="shared" ref="D87:H87" si="23">Rand()</f>
        <v>0.9098872887</v>
      </c>
      <c r="E87" s="120">
        <f t="shared" si="23"/>
        <v>0.9895790074</v>
      </c>
      <c r="F87" s="121">
        <f t="shared" si="23"/>
        <v>0.2163974402</v>
      </c>
      <c r="G87" s="122">
        <f t="shared" si="23"/>
        <v>0.868871165</v>
      </c>
      <c r="H87" s="123">
        <f t="shared" si="23"/>
        <v>0.2893948008</v>
      </c>
      <c r="I87" s="16">
        <f t="shared" si="21"/>
        <v>2.692675794</v>
      </c>
      <c r="J87" s="81"/>
      <c r="K87" s="2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J88" s="2"/>
      <c r="K88" s="2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J89" s="2"/>
      <c r="K89" s="2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2" t="s">
        <v>5</v>
      </c>
      <c r="G90" s="23" t="s">
        <v>6</v>
      </c>
      <c r="H90" s="24">
        <f>1E-16</f>
        <v>0</v>
      </c>
      <c r="J90" s="2"/>
      <c r="K90" s="2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11" t="s">
        <v>19</v>
      </c>
      <c r="D92" s="125" t="s">
        <v>20</v>
      </c>
      <c r="E92" s="29"/>
      <c r="F92" s="29"/>
      <c r="G92" s="29"/>
      <c r="H92" s="30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11" t="s">
        <v>8</v>
      </c>
      <c r="D93" s="31"/>
      <c r="E93" s="32"/>
      <c r="F93" s="32"/>
      <c r="G93" s="32"/>
      <c r="H93" s="33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31"/>
      <c r="E94" s="32"/>
      <c r="F94" s="32"/>
      <c r="G94" s="32"/>
      <c r="H94" s="33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31"/>
      <c r="E95" s="32"/>
      <c r="F95" s="32"/>
      <c r="G95" s="32"/>
      <c r="H95" s="33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34"/>
      <c r="E96" s="35"/>
      <c r="F96" s="35"/>
      <c r="G96" s="35"/>
      <c r="H96" s="36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C97" s="1"/>
      <c r="D97" s="2"/>
      <c r="E97" s="2"/>
      <c r="F97" s="2"/>
      <c r="G97" s="2"/>
      <c r="H97" s="2"/>
      <c r="I97" s="2"/>
      <c r="J97" s="2"/>
      <c r="K97" s="2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C98" s="1"/>
      <c r="D98" s="2"/>
      <c r="E98" s="2"/>
      <c r="F98" s="2"/>
      <c r="G98" s="2"/>
      <c r="H98" s="2"/>
      <c r="I98" s="2"/>
      <c r="J98" s="2"/>
      <c r="K98" s="2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37" t="s">
        <v>9</v>
      </c>
      <c r="F99" s="2"/>
      <c r="G99" s="23" t="s">
        <v>10</v>
      </c>
      <c r="H99" s="38">
        <v>0.5</v>
      </c>
      <c r="I99" s="2"/>
      <c r="J99" s="2"/>
      <c r="K99" s="2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F100" s="2"/>
      <c r="G100" s="23"/>
      <c r="H100" s="4"/>
      <c r="I100" s="2"/>
      <c r="J100" s="2"/>
      <c r="K100" s="2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C101" s="1"/>
      <c r="D101" s="2"/>
      <c r="E101" s="2"/>
      <c r="F101" s="2"/>
      <c r="G101" s="2"/>
      <c r="H101" s="2"/>
      <c r="I101" s="2"/>
      <c r="J101" s="2"/>
      <c r="K101" s="2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C102" s="23" t="s">
        <v>21</v>
      </c>
      <c r="D102" s="39" t="str">
        <f>RRAYFORMULA(H99*D92:H96)</f>
        <v>#NAME?</v>
      </c>
      <c r="E102" s="40"/>
      <c r="F102" s="40"/>
      <c r="G102" s="40"/>
      <c r="H102" s="41"/>
      <c r="I102" s="2"/>
      <c r="J102" s="2"/>
      <c r="K102" s="2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C103" s="1"/>
      <c r="D103" s="42"/>
      <c r="E103" s="43"/>
      <c r="F103" s="43"/>
      <c r="G103" s="43"/>
      <c r="H103" s="44"/>
      <c r="I103" s="2"/>
      <c r="J103" s="2"/>
      <c r="K103" s="2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C104" s="1"/>
      <c r="D104" s="42"/>
      <c r="E104" s="43"/>
      <c r="F104" s="43"/>
      <c r="G104" s="43"/>
      <c r="H104" s="44"/>
      <c r="I104" s="2"/>
      <c r="J104" s="2"/>
      <c r="K104" s="2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C105" s="1"/>
      <c r="D105" s="42"/>
      <c r="E105" s="43"/>
      <c r="F105" s="43"/>
      <c r="G105" s="43"/>
      <c r="H105" s="44"/>
      <c r="I105" s="2"/>
      <c r="J105" s="2"/>
      <c r="K105" s="2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C106" s="1"/>
      <c r="D106" s="45"/>
      <c r="E106" s="46"/>
      <c r="F106" s="46"/>
      <c r="G106" s="46"/>
      <c r="H106" s="47"/>
      <c r="I106" s="2"/>
      <c r="J106" s="2"/>
      <c r="K106" s="2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5"/>
      <c r="T107" s="6"/>
      <c r="U107" s="2"/>
      <c r="V107" s="2"/>
      <c r="W107" s="2"/>
      <c r="X107" s="2"/>
      <c r="Y107" s="2"/>
      <c r="Z107" s="2"/>
    </row>
    <row r="108">
      <c r="A108" s="3" t="s">
        <v>22</v>
      </c>
    </row>
    <row r="109"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5"/>
      <c r="T109" s="6"/>
      <c r="U109" s="2"/>
      <c r="V109" s="2"/>
      <c r="W109" s="2"/>
      <c r="X109" s="2"/>
      <c r="Y109" s="2"/>
      <c r="Z109" s="2"/>
    </row>
    <row r="110">
      <c r="B110" s="11" t="s">
        <v>4</v>
      </c>
      <c r="C110" s="12">
        <f t="shared" ref="C110:G110" si="24">Rand()</f>
        <v>0.4539267738</v>
      </c>
      <c r="D110" s="13">
        <f t="shared" si="24"/>
        <v>0.763064496</v>
      </c>
      <c r="E110" s="13">
        <f t="shared" si="24"/>
        <v>0.5050151635</v>
      </c>
      <c r="F110" s="13">
        <f t="shared" si="24"/>
        <v>0.7232764241</v>
      </c>
      <c r="G110" s="14">
        <f t="shared" si="24"/>
        <v>0.6125730905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5"/>
      <c r="T110" s="6"/>
      <c r="U110" s="2"/>
      <c r="V110" s="2"/>
      <c r="W110" s="2"/>
      <c r="X110" s="2"/>
      <c r="Y110" s="2"/>
      <c r="Z110" s="2"/>
    </row>
    <row r="111">
      <c r="B111" s="1"/>
      <c r="C111" s="17">
        <f t="shared" ref="C111:G111" si="25">Rand()</f>
        <v>0.6931802419</v>
      </c>
      <c r="D111" s="16">
        <f t="shared" si="25"/>
        <v>0.4041126259</v>
      </c>
      <c r="E111" s="16">
        <f t="shared" si="25"/>
        <v>0.9348578606</v>
      </c>
      <c r="F111" s="16">
        <f t="shared" si="25"/>
        <v>0.9854949187</v>
      </c>
      <c r="G111" s="18">
        <f t="shared" si="25"/>
        <v>0.6594088409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5"/>
      <c r="T111" s="6"/>
      <c r="U111" s="2"/>
      <c r="V111" s="2"/>
      <c r="W111" s="2"/>
      <c r="X111" s="2"/>
      <c r="Y111" s="2"/>
      <c r="Z111" s="2"/>
    </row>
    <row r="112">
      <c r="B112" s="1"/>
      <c r="C112" s="17">
        <f t="shared" ref="C112:G112" si="26">Rand()</f>
        <v>0.1093096812</v>
      </c>
      <c r="D112" s="16">
        <f t="shared" si="26"/>
        <v>0.9144499211</v>
      </c>
      <c r="E112" s="16">
        <f t="shared" si="26"/>
        <v>0.5631171359</v>
      </c>
      <c r="F112" s="16">
        <f t="shared" si="26"/>
        <v>0.5117744751</v>
      </c>
      <c r="G112" s="18">
        <f t="shared" si="26"/>
        <v>0.36525104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5"/>
      <c r="T112" s="6"/>
      <c r="U112" s="2"/>
      <c r="V112" s="2"/>
      <c r="W112" s="2"/>
      <c r="X112" s="2"/>
      <c r="Y112" s="2"/>
      <c r="Z112" s="2"/>
    </row>
    <row r="113">
      <c r="B113" s="1"/>
      <c r="C113" s="17">
        <f t="shared" ref="C113:G113" si="27">Rand()</f>
        <v>0.6323585225</v>
      </c>
      <c r="D113" s="16">
        <f t="shared" si="27"/>
        <v>0.6599040311</v>
      </c>
      <c r="E113" s="16">
        <f t="shared" si="27"/>
        <v>0.6182997237</v>
      </c>
      <c r="F113" s="16">
        <f t="shared" si="27"/>
        <v>0.115875187</v>
      </c>
      <c r="G113" s="18">
        <f t="shared" si="27"/>
        <v>0.9636668009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5"/>
      <c r="T113" s="6"/>
      <c r="U113" s="2"/>
      <c r="V113" s="2"/>
      <c r="W113" s="2"/>
      <c r="X113" s="2"/>
      <c r="Y113" s="2"/>
      <c r="Z113" s="2"/>
    </row>
    <row r="114">
      <c r="B114" s="1"/>
      <c r="C114" s="19">
        <f t="shared" ref="C114:G114" si="28">Rand()</f>
        <v>0.3614286929</v>
      </c>
      <c r="D114" s="20">
        <f t="shared" si="28"/>
        <v>0.6729150474</v>
      </c>
      <c r="E114" s="20">
        <f t="shared" si="28"/>
        <v>0.3730989546</v>
      </c>
      <c r="F114" s="20">
        <f t="shared" si="28"/>
        <v>0.7138759785</v>
      </c>
      <c r="G114" s="21">
        <f t="shared" si="28"/>
        <v>0.2776832929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5"/>
      <c r="T114" s="6"/>
      <c r="U114" s="2"/>
      <c r="V114" s="2"/>
      <c r="W114" s="2"/>
      <c r="X114" s="2"/>
      <c r="Y114" s="2"/>
      <c r="Z114" s="2"/>
    </row>
    <row r="115"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5"/>
      <c r="T115" s="6"/>
      <c r="U115" s="2"/>
      <c r="V115" s="2"/>
      <c r="W115" s="2"/>
      <c r="X115" s="2"/>
      <c r="Y115" s="2"/>
      <c r="Z115" s="2"/>
    </row>
    <row r="116">
      <c r="C116" s="137" t="s">
        <v>21</v>
      </c>
      <c r="D116" s="2"/>
      <c r="E116" s="2"/>
      <c r="F116" s="2"/>
      <c r="G116" s="2"/>
      <c r="H116" s="2"/>
      <c r="J116" s="11" t="s">
        <v>15</v>
      </c>
      <c r="K116" s="2"/>
      <c r="L116" s="2"/>
      <c r="M116" s="2"/>
      <c r="N116" s="2"/>
      <c r="O116" s="137" t="s">
        <v>12</v>
      </c>
      <c r="P116" s="2"/>
      <c r="Q116" s="2"/>
      <c r="R116" s="2"/>
      <c r="S116" s="5"/>
      <c r="T116" s="6"/>
      <c r="U116" s="2"/>
      <c r="V116" s="2"/>
      <c r="W116" s="2"/>
      <c r="X116" s="2"/>
      <c r="Y116" s="2"/>
      <c r="Z116" s="2"/>
    </row>
    <row r="117">
      <c r="C117" s="141">
        <f t="array" ref="C117:G121">LET(x,C110:G114,rms,SQRT(MMULT(x^2,SEQUENCE(5,1,1/5,0))),x/rms)</f>
        <v>0.7284104642</v>
      </c>
      <c r="D117" s="142">
        <v>1.2244797969275067</v>
      </c>
      <c r="E117" s="142">
        <v>0.8103913470619201</v>
      </c>
      <c r="F117" s="142">
        <v>1.1606323889821044</v>
      </c>
      <c r="G117" s="143">
        <v>0.982988171234587</v>
      </c>
      <c r="H117" s="2"/>
      <c r="I117" s="12">
        <f t="array" ref="I117:M121">LET(x,C110:G114,mu,MMULT(SEQUENCE(1,5,1/5,0),x),c,x-mu,v,MMULT(SEQUENCE(1,5,1/5,0),c^2),c/SQRT(v))</f>
        <v>0.01868258838</v>
      </c>
      <c r="J117" s="13">
        <v>0.48191336190141704</v>
      </c>
      <c r="K117" s="13">
        <v>-0.5026872448390983</v>
      </c>
      <c r="L117" s="13">
        <v>0.39137000630963875</v>
      </c>
      <c r="M117" s="14">
        <v>0.15251638687911534</v>
      </c>
      <c r="N117" s="2"/>
      <c r="O117" s="12">
        <f t="shared" ref="O117:S117" si="29">(C110-AVERAGE($C110:$G110))/STDEVP($C110:$G110)</f>
        <v>-1.317043905</v>
      </c>
      <c r="P117" s="13">
        <f t="shared" si="29"/>
        <v>1.26565432</v>
      </c>
      <c r="Q117" s="13">
        <f t="shared" si="29"/>
        <v>-0.8902247756</v>
      </c>
      <c r="R117" s="13">
        <f t="shared" si="29"/>
        <v>0.9332439563</v>
      </c>
      <c r="S117" s="14">
        <f t="shared" si="29"/>
        <v>0.008370404379</v>
      </c>
      <c r="T117" s="6"/>
      <c r="U117" s="2"/>
      <c r="V117" s="2"/>
      <c r="W117" s="2"/>
      <c r="X117" s="2"/>
      <c r="Y117" s="2"/>
      <c r="Z117" s="2"/>
    </row>
    <row r="118">
      <c r="C118" s="144">
        <v>0.9064804364072427</v>
      </c>
      <c r="D118" s="145">
        <v>0.5284631143957649</v>
      </c>
      <c r="E118" s="145">
        <v>1.2225252687632044</v>
      </c>
      <c r="F118" s="145">
        <v>1.2887439803860845</v>
      </c>
      <c r="G118" s="146">
        <v>0.8623171547569658</v>
      </c>
      <c r="H118" s="2"/>
      <c r="I118" s="17">
        <v>1.1689358132987766</v>
      </c>
      <c r="J118" s="16">
        <v>-1.675655908616336</v>
      </c>
      <c r="K118" s="16">
        <v>1.7993631086449182</v>
      </c>
      <c r="L118" s="16">
        <v>1.2978101080964004</v>
      </c>
      <c r="M118" s="18">
        <v>0.3463281650021116</v>
      </c>
      <c r="N118" s="2"/>
      <c r="O118" s="17">
        <f t="shared" ref="O118:S118" si="30">(C111-AVERAGE($C111:$G111))/STDEVP($C111:$G111)</f>
        <v>-0.2014919539</v>
      </c>
      <c r="P118" s="16">
        <f t="shared" si="30"/>
        <v>-1.580698545</v>
      </c>
      <c r="Q118" s="16">
        <f t="shared" si="30"/>
        <v>0.9516063054</v>
      </c>
      <c r="R118" s="16">
        <f t="shared" si="30"/>
        <v>1.193207095</v>
      </c>
      <c r="S118" s="18">
        <f t="shared" si="30"/>
        <v>-0.3626229011</v>
      </c>
      <c r="T118" s="6"/>
      <c r="U118" s="2"/>
      <c r="V118" s="2"/>
      <c r="W118" s="2"/>
      <c r="X118" s="2"/>
      <c r="Y118" s="2"/>
      <c r="Z118" s="2"/>
    </row>
    <row r="119">
      <c r="C119" s="144">
        <v>0.19565874990428833</v>
      </c>
      <c r="D119" s="145">
        <v>1.6368186829632945</v>
      </c>
      <c r="E119" s="145">
        <v>1.0079509303260177</v>
      </c>
      <c r="F119" s="145">
        <v>0.9160501881241639</v>
      </c>
      <c r="G119" s="146">
        <v>0.6537807182693575</v>
      </c>
      <c r="H119" s="2"/>
      <c r="I119" s="17">
        <v>-1.6381248354292761</v>
      </c>
      <c r="J119" s="16">
        <v>1.3918530179179036</v>
      </c>
      <c r="K119" s="16">
        <v>-0.19151837526182477</v>
      </c>
      <c r="L119" s="16">
        <v>-0.33975252004878187</v>
      </c>
      <c r="M119" s="18">
        <v>-0.8709310000258741</v>
      </c>
      <c r="N119" s="2"/>
      <c r="O119" s="17">
        <f t="shared" ref="O119:S119" si="31">(C112-AVERAGE($C112:$G112))/STDEVP($C112:$G112)</f>
        <v>-1.456839002</v>
      </c>
      <c r="P119" s="16">
        <f t="shared" si="31"/>
        <v>1.601959209</v>
      </c>
      <c r="Q119" s="16">
        <f t="shared" si="31"/>
        <v>0.2672152208</v>
      </c>
      <c r="R119" s="16">
        <f t="shared" si="31"/>
        <v>0.0721599605</v>
      </c>
      <c r="S119" s="18">
        <f t="shared" si="31"/>
        <v>-0.4844953883</v>
      </c>
      <c r="T119" s="6"/>
      <c r="U119" s="2"/>
      <c r="V119" s="2"/>
      <c r="W119" s="2"/>
      <c r="X119" s="2"/>
      <c r="Y119" s="2"/>
      <c r="Z119" s="2"/>
    </row>
    <row r="120">
      <c r="C120" s="144">
        <v>0.9621638943686218</v>
      </c>
      <c r="D120" s="145">
        <v>1.0040757100124613</v>
      </c>
      <c r="E120" s="145">
        <v>0.9407727561420653</v>
      </c>
      <c r="F120" s="145">
        <v>0.17630966797027312</v>
      </c>
      <c r="G120" s="146">
        <v>1.4662653686210598</v>
      </c>
      <c r="H120" s="2"/>
      <c r="I120" s="17">
        <v>0.8765246754111585</v>
      </c>
      <c r="J120" s="16">
        <v>-0.13815820641398388</v>
      </c>
      <c r="K120" s="16">
        <v>0.10401554134827802</v>
      </c>
      <c r="L120" s="16">
        <v>-1.7083020252458065</v>
      </c>
      <c r="M120" s="18">
        <v>1.6053829622264926</v>
      </c>
      <c r="N120" s="2"/>
      <c r="O120" s="17">
        <f t="shared" ref="O120:S120" si="32">(C113-AVERAGE($C113:$G113))/STDEVP($C113:$G113)</f>
        <v>0.1259589202</v>
      </c>
      <c r="P120" s="16">
        <f t="shared" si="32"/>
        <v>0.2270025429</v>
      </c>
      <c r="Q120" s="16">
        <f t="shared" si="32"/>
        <v>0.07438782816</v>
      </c>
      <c r="R120" s="16">
        <f t="shared" si="32"/>
        <v>-1.768627529</v>
      </c>
      <c r="S120" s="18">
        <f t="shared" si="32"/>
        <v>1.341278238</v>
      </c>
      <c r="T120" s="6"/>
      <c r="U120" s="2"/>
      <c r="V120" s="2"/>
      <c r="W120" s="2"/>
      <c r="X120" s="2"/>
      <c r="Y120" s="2"/>
      <c r="Z120" s="2"/>
    </row>
    <row r="121">
      <c r="C121" s="147">
        <v>0.706277852601808</v>
      </c>
      <c r="D121" s="148">
        <v>1.3149619939602044</v>
      </c>
      <c r="E121" s="148">
        <v>0.7290830352773707</v>
      </c>
      <c r="F121" s="148">
        <v>1.3950048877654906</v>
      </c>
      <c r="G121" s="149">
        <v>0.5426286392603229</v>
      </c>
      <c r="H121" s="2"/>
      <c r="I121" s="19">
        <v>-0.42601824165670316</v>
      </c>
      <c r="J121" s="20">
        <v>-0.059952264789000016</v>
      </c>
      <c r="K121" s="20">
        <v>-1.209173029892276</v>
      </c>
      <c r="L121" s="20">
        <v>0.3588744308885492</v>
      </c>
      <c r="M121" s="21">
        <v>-1.233296514081846</v>
      </c>
      <c r="N121" s="2"/>
      <c r="O121" s="19">
        <f t="shared" ref="O121:S121" si="33">(C114-AVERAGE($C114:$G114))/STDEVP($C114:$G114)</f>
        <v>-0.6651921718</v>
      </c>
      <c r="P121" s="20">
        <f t="shared" si="33"/>
        <v>1.085211717</v>
      </c>
      <c r="Q121" s="20">
        <f t="shared" si="33"/>
        <v>-0.5996108995</v>
      </c>
      <c r="R121" s="20">
        <f t="shared" si="33"/>
        <v>1.3153925</v>
      </c>
      <c r="S121" s="21">
        <f t="shared" si="33"/>
        <v>-1.135801146</v>
      </c>
      <c r="T121" s="6"/>
      <c r="U121" s="2"/>
      <c r="V121" s="2"/>
      <c r="W121" s="2"/>
      <c r="X121" s="2"/>
      <c r="Y121" s="2"/>
      <c r="Z121" s="2"/>
    </row>
    <row r="122"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5"/>
      <c r="T122" s="6"/>
      <c r="U122" s="2"/>
      <c r="V122" s="2"/>
      <c r="W122" s="2"/>
      <c r="X122" s="2"/>
      <c r="Y122" s="2"/>
      <c r="Z122" s="2"/>
    </row>
    <row r="123"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5"/>
      <c r="T123" s="6"/>
      <c r="U123" s="2"/>
      <c r="V123" s="2"/>
      <c r="W123" s="2"/>
      <c r="X123" s="2"/>
      <c r="Y123" s="2"/>
      <c r="Z123" s="2"/>
    </row>
    <row r="124"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5"/>
      <c r="T124" s="6"/>
      <c r="U124" s="2"/>
      <c r="V124" s="2"/>
      <c r="W124" s="2"/>
      <c r="X124" s="2"/>
      <c r="Y124" s="2"/>
      <c r="Z124" s="2"/>
    </row>
    <row r="125">
      <c r="A125" s="151" t="s">
        <v>23</v>
      </c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23" t="s">
        <v>4</v>
      </c>
      <c r="C127" s="39">
        <f t="shared" ref="C127:G127" si="34">NORMINV(rand(),0, sqrt(2/5))</f>
        <v>0.1110192554</v>
      </c>
      <c r="D127" s="40">
        <f t="shared" si="34"/>
        <v>-0.06645722459</v>
      </c>
      <c r="E127" s="40">
        <f t="shared" si="34"/>
        <v>-0.5398873055</v>
      </c>
      <c r="F127" s="40">
        <f t="shared" si="34"/>
        <v>-0.03740097475</v>
      </c>
      <c r="G127" s="41">
        <f t="shared" si="34"/>
        <v>-0.3671623407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42">
        <f t="shared" ref="C128:G128" si="35">NORMINV(rand(),0, sqrt(2/5))</f>
        <v>-0.1707693129</v>
      </c>
      <c r="D128" s="43">
        <f t="shared" si="35"/>
        <v>0.2563192358</v>
      </c>
      <c r="E128" s="43">
        <f t="shared" si="35"/>
        <v>-0.4301942305</v>
      </c>
      <c r="F128" s="43">
        <f t="shared" si="35"/>
        <v>-0.2344353118</v>
      </c>
      <c r="G128" s="44">
        <f t="shared" si="35"/>
        <v>0.2793477318</v>
      </c>
      <c r="H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42">
        <f t="shared" ref="C129:G129" si="36">NORMINV(rand(),0, sqrt(2/5))</f>
        <v>-0.2366631203</v>
      </c>
      <c r="D129" s="43">
        <f t="shared" si="36"/>
        <v>-0.1165820123</v>
      </c>
      <c r="E129" s="43">
        <f t="shared" si="36"/>
        <v>1.142391431</v>
      </c>
      <c r="F129" s="43">
        <f t="shared" si="36"/>
        <v>-0.5001279861</v>
      </c>
      <c r="G129" s="44">
        <f t="shared" si="36"/>
        <v>0.08747341685</v>
      </c>
      <c r="H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42">
        <f t="shared" ref="C130:G130" si="37">NORMINV(rand(),0, sqrt(2/5))</f>
        <v>0.4111901514</v>
      </c>
      <c r="D130" s="43">
        <f t="shared" si="37"/>
        <v>-0.6594514789</v>
      </c>
      <c r="E130" s="43">
        <f t="shared" si="37"/>
        <v>0.04072018066</v>
      </c>
      <c r="F130" s="43">
        <f t="shared" si="37"/>
        <v>0.3244329524</v>
      </c>
      <c r="G130" s="44">
        <f t="shared" si="37"/>
        <v>-0.9627560781</v>
      </c>
      <c r="H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45">
        <f t="shared" ref="C131:G131" si="38">NORMINV(rand(),0, sqrt(2/5))</f>
        <v>-0.4187439925</v>
      </c>
      <c r="D131" s="46">
        <f t="shared" si="38"/>
        <v>-0.391519304</v>
      </c>
      <c r="E131" s="46">
        <f t="shared" si="38"/>
        <v>0.1377572164</v>
      </c>
      <c r="F131" s="46">
        <f t="shared" si="38"/>
        <v>-0.07787085525</v>
      </c>
      <c r="G131" s="47">
        <f t="shared" si="38"/>
        <v>-0.2593973774</v>
      </c>
      <c r="H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E132" s="4" t="s">
        <v>24</v>
      </c>
      <c r="H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23"/>
      <c r="C133" s="2"/>
      <c r="D133" s="2"/>
      <c r="E133" s="4" t="s">
        <v>24</v>
      </c>
      <c r="F133" s="2"/>
      <c r="G133" s="2"/>
      <c r="H133" s="2"/>
      <c r="I133" s="2"/>
      <c r="J133" s="2"/>
      <c r="K133" s="2"/>
      <c r="L133" s="2"/>
      <c r="S133" s="43"/>
      <c r="T133" s="43"/>
      <c r="U133" s="43"/>
      <c r="V133" s="43"/>
      <c r="W133" s="43"/>
      <c r="X133" s="2"/>
      <c r="Y133" s="2"/>
      <c r="Z133" s="2"/>
    </row>
    <row r="134">
      <c r="B134" s="23" t="s">
        <v>25</v>
      </c>
      <c r="C134" s="12">
        <f t="array" ref="C134:G143">MMULT(J134:N143,C127:G131)</f>
        <v>-0.21536027</v>
      </c>
      <c r="D134" s="13">
        <v>-0.3786750326090195</v>
      </c>
      <c r="E134" s="13">
        <v>-0.13267630107372308</v>
      </c>
      <c r="F134" s="13">
        <v>0.14742375365195023</v>
      </c>
      <c r="G134" s="14">
        <v>-0.35526443048388934</v>
      </c>
      <c r="H134" s="2"/>
      <c r="I134" s="23" t="s">
        <v>26</v>
      </c>
      <c r="J134" s="39">
        <f t="shared" ref="J134:N134" si="39">NORMINV(rand(),0, sqrt(2/5))</f>
        <v>0.01674425065</v>
      </c>
      <c r="K134" s="40">
        <f t="shared" si="39"/>
        <v>-0.2133032913</v>
      </c>
      <c r="L134" s="40">
        <f t="shared" si="39"/>
        <v>-0.2895026616</v>
      </c>
      <c r="M134" s="40">
        <f t="shared" si="39"/>
        <v>0.05309384531</v>
      </c>
      <c r="N134" s="41">
        <f t="shared" si="39"/>
        <v>0.8214831409</v>
      </c>
      <c r="S134" s="43"/>
      <c r="T134" s="43"/>
      <c r="U134" s="43"/>
      <c r="V134" s="43"/>
      <c r="W134" s="43"/>
      <c r="X134" s="2"/>
      <c r="Y134" s="2"/>
      <c r="Z134" s="2"/>
    </row>
    <row r="135">
      <c r="C135" s="17">
        <v>0.024855547535945127</v>
      </c>
      <c r="D135" s="16">
        <v>-0.7663117536607641</v>
      </c>
      <c r="E135" s="16">
        <v>0.8202514801616142</v>
      </c>
      <c r="F135" s="16">
        <v>0.1425268085577579</v>
      </c>
      <c r="G135" s="18">
        <v>-0.7628269854583415</v>
      </c>
      <c r="H135" s="2"/>
      <c r="I135" s="23" t="s">
        <v>27</v>
      </c>
      <c r="J135" s="42">
        <f t="shared" ref="J135:N135" si="40">NORMINV(rand(),0, sqrt(2/5))</f>
        <v>-0.1938984066</v>
      </c>
      <c r="K135" s="43">
        <f t="shared" si="40"/>
        <v>-0.6199749054</v>
      </c>
      <c r="L135" s="43">
        <f t="shared" si="40"/>
        <v>0.3087188667</v>
      </c>
      <c r="M135" s="43">
        <f t="shared" si="40"/>
        <v>0.571874564</v>
      </c>
      <c r="N135" s="44">
        <f t="shared" si="40"/>
        <v>0.529147896</v>
      </c>
      <c r="S135" s="43"/>
      <c r="T135" s="43"/>
      <c r="U135" s="43"/>
      <c r="V135" s="43"/>
      <c r="W135" s="43"/>
      <c r="X135" s="2"/>
      <c r="Y135" s="2"/>
      <c r="Z135" s="2"/>
    </row>
    <row r="136">
      <c r="C136" s="17">
        <v>-0.23218128862077952</v>
      </c>
      <c r="D136" s="16">
        <v>0.34224085971005636</v>
      </c>
      <c r="E136" s="16">
        <v>0.8425692098300399</v>
      </c>
      <c r="F136" s="16">
        <v>0.17634803135675592</v>
      </c>
      <c r="G136" s="18">
        <v>0.8196751645642832</v>
      </c>
      <c r="H136" s="2"/>
      <c r="I136" s="1"/>
      <c r="J136" s="42">
        <f t="shared" ref="J136:N136" si="41">NORMINV(rand(),0, sqrt(2/5))</f>
        <v>-0.6453932397</v>
      </c>
      <c r="K136" s="43">
        <f t="shared" si="41"/>
        <v>-1.834672131</v>
      </c>
      <c r="L136" s="43">
        <f t="shared" si="41"/>
        <v>-0.2278519187</v>
      </c>
      <c r="M136" s="43">
        <f t="shared" si="41"/>
        <v>-1.184487283</v>
      </c>
      <c r="N136" s="44">
        <f t="shared" si="41"/>
        <v>0.09722062331</v>
      </c>
      <c r="S136" s="43"/>
      <c r="T136" s="43"/>
      <c r="U136" s="43"/>
      <c r="V136" s="43"/>
      <c r="W136" s="43"/>
      <c r="X136" s="2"/>
      <c r="Y136" s="2"/>
      <c r="Z136" s="2"/>
    </row>
    <row r="137">
      <c r="C137" s="17">
        <v>0.3213682282202044</v>
      </c>
      <c r="D137" s="16">
        <v>-1.0451392973180762</v>
      </c>
      <c r="E137" s="16">
        <v>-0.15311052909633407</v>
      </c>
      <c r="F137" s="16">
        <v>0.6352996512600443</v>
      </c>
      <c r="G137" s="18">
        <v>-1.2936117014693012</v>
      </c>
      <c r="I137" s="1"/>
      <c r="J137" s="42">
        <f t="shared" ref="J137:N137" si="42">NORMINV(rand(),0, sqrt(2/5))</f>
        <v>-0.6344587883</v>
      </c>
      <c r="K137" s="43">
        <f t="shared" si="42"/>
        <v>0.1868197019</v>
      </c>
      <c r="L137" s="43">
        <f t="shared" si="42"/>
        <v>-0.4934994797</v>
      </c>
      <c r="M137" s="43">
        <f t="shared" si="42"/>
        <v>1.417446189</v>
      </c>
      <c r="N137" s="44">
        <f t="shared" si="42"/>
        <v>0.6589338638</v>
      </c>
      <c r="S137" s="43"/>
      <c r="T137" s="43"/>
      <c r="U137" s="43"/>
      <c r="V137" s="43"/>
      <c r="W137" s="43"/>
      <c r="X137" s="2"/>
      <c r="Y137" s="2"/>
      <c r="Z137" s="2"/>
    </row>
    <row r="138">
      <c r="C138" s="17">
        <v>-0.4734098084933912</v>
      </c>
      <c r="D138" s="16">
        <v>1.8131409960375637</v>
      </c>
      <c r="E138" s="16">
        <v>0.16592705169383</v>
      </c>
      <c r="F138" s="16">
        <v>-0.7071970239355673</v>
      </c>
      <c r="G138" s="18">
        <v>2.464204109251445</v>
      </c>
      <c r="I138" s="1"/>
      <c r="J138" s="42">
        <f t="shared" ref="J138:N138" si="43">NORMINV(rand(),0, sqrt(2/5))</f>
        <v>-0.6078576604</v>
      </c>
      <c r="K138" s="43">
        <f t="shared" si="43"/>
        <v>0.4318009372</v>
      </c>
      <c r="L138" s="43">
        <f t="shared" si="43"/>
        <v>0.2280556571</v>
      </c>
      <c r="M138" s="43">
        <f t="shared" si="43"/>
        <v>-1.866811691</v>
      </c>
      <c r="N138" s="44">
        <f t="shared" si="43"/>
        <v>-1.16873173</v>
      </c>
      <c r="S138" s="43"/>
      <c r="T138" s="43"/>
      <c r="U138" s="43"/>
      <c r="V138" s="43"/>
      <c r="W138" s="43"/>
      <c r="X138" s="2"/>
      <c r="Y138" s="2"/>
      <c r="Z138" s="2"/>
    </row>
    <row r="139">
      <c r="C139" s="17">
        <v>0.5467494907964183</v>
      </c>
      <c r="D139" s="16">
        <v>-1.0996186696006658</v>
      </c>
      <c r="E139" s="16">
        <v>0.21684438582712168</v>
      </c>
      <c r="F139" s="16">
        <v>0.6967483361539182</v>
      </c>
      <c r="G139" s="18">
        <v>-1.4316706474534673</v>
      </c>
      <c r="H139" s="162" t="s">
        <v>28</v>
      </c>
      <c r="I139" s="162" t="s">
        <v>28</v>
      </c>
      <c r="J139" s="42">
        <f t="shared" ref="J139:N139" si="44">NORMINV(rand(),0, sqrt(2/5))</f>
        <v>-0.3421960714</v>
      </c>
      <c r="K139" s="43">
        <f t="shared" si="44"/>
        <v>-0.5785440071</v>
      </c>
      <c r="L139" s="43">
        <f t="shared" si="44"/>
        <v>-0.2751303391</v>
      </c>
      <c r="M139" s="43">
        <f t="shared" si="44"/>
        <v>1.340742779</v>
      </c>
      <c r="N139" s="44">
        <f t="shared" si="44"/>
        <v>0.3115773646</v>
      </c>
      <c r="S139" s="43"/>
      <c r="T139" s="43"/>
      <c r="U139" s="43"/>
      <c r="V139" s="43"/>
      <c r="W139" s="43"/>
      <c r="X139" s="2"/>
      <c r="Y139" s="2"/>
      <c r="Z139" s="2"/>
    </row>
    <row r="140">
      <c r="C140" s="17">
        <v>0.10351884499866101</v>
      </c>
      <c r="D140" s="16">
        <v>0.8235017602822282</v>
      </c>
      <c r="E140" s="16">
        <v>-0.6288477991753942</v>
      </c>
      <c r="F140" s="16">
        <v>0.4435590911797649</v>
      </c>
      <c r="G140" s="18">
        <v>0.9797023938945576</v>
      </c>
      <c r="I140" s="1"/>
      <c r="J140" s="42">
        <f t="shared" ref="J140:N140" si="45">NORMINV(rand(),0, sqrt(2/5))</f>
        <v>-0.2621875734</v>
      </c>
      <c r="K140" s="43">
        <f t="shared" si="45"/>
        <v>-1.2134538</v>
      </c>
      <c r="L140" s="43">
        <f t="shared" si="45"/>
        <v>-1.032049517</v>
      </c>
      <c r="M140" s="43">
        <f t="shared" si="45"/>
        <v>-1.240437893</v>
      </c>
      <c r="N140" s="44">
        <f t="shared" si="45"/>
        <v>-0.4566365893</v>
      </c>
      <c r="S140" s="43"/>
      <c r="T140" s="43"/>
      <c r="U140" s="43"/>
      <c r="V140" s="43"/>
      <c r="W140" s="43"/>
      <c r="X140" s="2"/>
      <c r="Y140" s="2"/>
      <c r="Z140" s="2"/>
    </row>
    <row r="141">
      <c r="C141" s="17">
        <v>-0.8146840804815259</v>
      </c>
      <c r="D141" s="16">
        <v>0.046942070318134244</v>
      </c>
      <c r="E141" s="16">
        <v>1.0481182517376297</v>
      </c>
      <c r="F141" s="16">
        <v>-0.3533909319529894</v>
      </c>
      <c r="G141" s="18">
        <v>0.7081309011543582</v>
      </c>
      <c r="I141" s="1"/>
      <c r="J141" s="42">
        <f t="shared" ref="J141:N141" si="46">NORMINV(rand(),0, sqrt(2/5))</f>
        <v>-0.8550265259</v>
      </c>
      <c r="K141" s="43">
        <f t="shared" si="46"/>
        <v>-0.3332662269</v>
      </c>
      <c r="L141" s="43">
        <f t="shared" si="46"/>
        <v>0.2982719673</v>
      </c>
      <c r="M141" s="43">
        <f t="shared" si="46"/>
        <v>-0.7380826791</v>
      </c>
      <c r="N141" s="44">
        <f t="shared" si="46"/>
        <v>0.9614203928</v>
      </c>
      <c r="S141" s="43"/>
      <c r="T141" s="43"/>
      <c r="U141" s="43"/>
      <c r="V141" s="43"/>
      <c r="W141" s="43"/>
      <c r="X141" s="2"/>
      <c r="Y141" s="2"/>
      <c r="Z141" s="2"/>
    </row>
    <row r="142">
      <c r="C142" s="17">
        <v>-0.08284191508915174</v>
      </c>
      <c r="D142" s="16">
        <v>0.3828882668892092</v>
      </c>
      <c r="E142" s="16">
        <v>0.3019420701933576</v>
      </c>
      <c r="F142" s="16">
        <v>0.027362406435007702</v>
      </c>
      <c r="G142" s="18">
        <v>0.6648680313615117</v>
      </c>
      <c r="I142" s="1"/>
      <c r="J142" s="42">
        <f t="shared" ref="J142:N142" si="47">NORMINV(rand(),0, sqrt(2/5))</f>
        <v>-0.6945588915</v>
      </c>
      <c r="K142" s="43">
        <f t="shared" si="47"/>
        <v>-0.2848477885</v>
      </c>
      <c r="L142" s="43">
        <f t="shared" si="47"/>
        <v>-0.1255055136</v>
      </c>
      <c r="M142" s="43">
        <f t="shared" si="47"/>
        <v>-0.4537966943</v>
      </c>
      <c r="N142" s="44">
        <f t="shared" si="47"/>
        <v>-0.2448236667</v>
      </c>
      <c r="S142" s="43"/>
      <c r="T142" s="43"/>
      <c r="U142" s="43"/>
      <c r="V142" s="43"/>
      <c r="W142" s="43"/>
      <c r="X142" s="2"/>
      <c r="Y142" s="2"/>
      <c r="Z142" s="2"/>
    </row>
    <row r="143">
      <c r="C143" s="19">
        <v>-0.25915511308372535</v>
      </c>
      <c r="D143" s="20">
        <v>-0.182416578207068</v>
      </c>
      <c r="E143" s="20">
        <v>0.1966599597372724</v>
      </c>
      <c r="F143" s="20">
        <v>-0.06094456028102443</v>
      </c>
      <c r="G143" s="21">
        <v>-0.08574633767452994</v>
      </c>
      <c r="I143" s="1"/>
      <c r="J143" s="45">
        <f t="shared" ref="J143:N143" si="48">NORMINV(rand(),0, sqrt(2/5))</f>
        <v>0.1555456152</v>
      </c>
      <c r="K143" s="46">
        <f t="shared" si="48"/>
        <v>-0.3640270869</v>
      </c>
      <c r="L143" s="46">
        <f t="shared" si="48"/>
        <v>0.04873288928</v>
      </c>
      <c r="M143" s="46">
        <f t="shared" si="48"/>
        <v>-0.2229129293</v>
      </c>
      <c r="N143" s="47">
        <f t="shared" si="48"/>
        <v>0.5621464484</v>
      </c>
      <c r="X143" s="2"/>
      <c r="Y143" s="2"/>
      <c r="Z143" s="2"/>
    </row>
    <row r="144">
      <c r="E144" s="4" t="s">
        <v>24</v>
      </c>
      <c r="X144" s="2"/>
      <c r="Y144" s="2"/>
      <c r="Z144" s="2"/>
    </row>
    <row r="145">
      <c r="E145" s="4" t="s">
        <v>24</v>
      </c>
      <c r="X145" s="2"/>
      <c r="Y145" s="2"/>
      <c r="Z145" s="2"/>
    </row>
    <row r="146">
      <c r="B146" s="23" t="s">
        <v>29</v>
      </c>
      <c r="C146" s="12">
        <f t="shared" ref="C146:G146" si="49">Max(0,C134)</f>
        <v>0</v>
      </c>
      <c r="D146" s="13">
        <f t="shared" si="49"/>
        <v>0</v>
      </c>
      <c r="E146" s="13">
        <f t="shared" si="49"/>
        <v>0</v>
      </c>
      <c r="F146" s="13">
        <f t="shared" si="49"/>
        <v>0.1474237537</v>
      </c>
      <c r="G146" s="14">
        <f t="shared" si="49"/>
        <v>0</v>
      </c>
      <c r="X146" s="2"/>
      <c r="Y146" s="2"/>
      <c r="Z146" s="2"/>
    </row>
    <row r="147">
      <c r="C147" s="17">
        <f t="shared" ref="C147:G147" si="50">Max(0,C135)</f>
        <v>0.02485554754</v>
      </c>
      <c r="D147" s="16">
        <f t="shared" si="50"/>
        <v>0</v>
      </c>
      <c r="E147" s="16">
        <f t="shared" si="50"/>
        <v>0.8202514802</v>
      </c>
      <c r="F147" s="16">
        <f t="shared" si="50"/>
        <v>0.1425268086</v>
      </c>
      <c r="G147" s="18">
        <f t="shared" si="50"/>
        <v>0</v>
      </c>
      <c r="X147" s="2"/>
      <c r="Y147" s="2"/>
      <c r="Z147" s="2"/>
    </row>
    <row r="148">
      <c r="C148" s="17">
        <f t="shared" ref="C148:G148" si="51">Max(0,C136)</f>
        <v>0</v>
      </c>
      <c r="D148" s="16">
        <f t="shared" si="51"/>
        <v>0.3422408597</v>
      </c>
      <c r="E148" s="16">
        <f t="shared" si="51"/>
        <v>0.8425692098</v>
      </c>
      <c r="F148" s="16">
        <f t="shared" si="51"/>
        <v>0.1763480314</v>
      </c>
      <c r="G148" s="18">
        <f t="shared" si="51"/>
        <v>0.8196751646</v>
      </c>
      <c r="X148" s="2"/>
      <c r="Y148" s="2"/>
      <c r="Z148" s="2"/>
    </row>
    <row r="149">
      <c r="C149" s="17">
        <f t="shared" ref="C149:G149" si="52">Max(0,C137)</f>
        <v>0.3213682282</v>
      </c>
      <c r="D149" s="16">
        <f t="shared" si="52"/>
        <v>0</v>
      </c>
      <c r="E149" s="16">
        <f t="shared" si="52"/>
        <v>0</v>
      </c>
      <c r="F149" s="16">
        <f t="shared" si="52"/>
        <v>0.6352996513</v>
      </c>
      <c r="G149" s="18">
        <f t="shared" si="52"/>
        <v>0</v>
      </c>
      <c r="X149" s="2"/>
      <c r="Y149" s="2"/>
      <c r="Z149" s="2"/>
    </row>
    <row r="150">
      <c r="C150" s="17">
        <f t="shared" ref="C150:G150" si="53">Max(0,C138)</f>
        <v>0</v>
      </c>
      <c r="D150" s="16">
        <f t="shared" si="53"/>
        <v>1.813140996</v>
      </c>
      <c r="E150" s="16">
        <f t="shared" si="53"/>
        <v>0.1659270517</v>
      </c>
      <c r="F150" s="16">
        <f t="shared" si="53"/>
        <v>0</v>
      </c>
      <c r="G150" s="18">
        <f t="shared" si="53"/>
        <v>2.464204109</v>
      </c>
      <c r="X150" s="2"/>
      <c r="Y150" s="2"/>
      <c r="Z150" s="2"/>
    </row>
    <row r="151">
      <c r="C151" s="17">
        <f t="shared" ref="C151:G151" si="54">Max(0,C139)</f>
        <v>0.5467494908</v>
      </c>
      <c r="D151" s="16">
        <f t="shared" si="54"/>
        <v>0</v>
      </c>
      <c r="E151" s="16">
        <f t="shared" si="54"/>
        <v>0.2168443858</v>
      </c>
      <c r="F151" s="16">
        <f t="shared" si="54"/>
        <v>0.6967483362</v>
      </c>
      <c r="G151" s="18">
        <f t="shared" si="54"/>
        <v>0</v>
      </c>
      <c r="X151" s="2"/>
      <c r="Y151" s="2"/>
      <c r="Z151" s="2"/>
    </row>
    <row r="152">
      <c r="C152" s="17">
        <f t="shared" ref="C152:G152" si="55">Max(0,C140)</f>
        <v>0.103518845</v>
      </c>
      <c r="D152" s="16">
        <f t="shared" si="55"/>
        <v>0.8235017603</v>
      </c>
      <c r="E152" s="16">
        <f t="shared" si="55"/>
        <v>0</v>
      </c>
      <c r="F152" s="16">
        <f t="shared" si="55"/>
        <v>0.4435590912</v>
      </c>
      <c r="G152" s="18">
        <f t="shared" si="55"/>
        <v>0.9797023939</v>
      </c>
      <c r="X152" s="2"/>
      <c r="Y152" s="2"/>
      <c r="Z152" s="2"/>
    </row>
    <row r="153">
      <c r="C153" s="17">
        <f t="shared" ref="C153:G153" si="56">Max(0,C141)</f>
        <v>0</v>
      </c>
      <c r="D153" s="16">
        <f t="shared" si="56"/>
        <v>0.04694207032</v>
      </c>
      <c r="E153" s="16">
        <f t="shared" si="56"/>
        <v>1.048118252</v>
      </c>
      <c r="F153" s="16">
        <f t="shared" si="56"/>
        <v>0</v>
      </c>
      <c r="G153" s="18">
        <f t="shared" si="56"/>
        <v>0.7081309012</v>
      </c>
      <c r="X153" s="2"/>
      <c r="Y153" s="2"/>
      <c r="Z153" s="2"/>
    </row>
    <row r="154">
      <c r="C154" s="17">
        <f t="shared" ref="C154:G154" si="57">Max(0,C142)</f>
        <v>0</v>
      </c>
      <c r="D154" s="16">
        <f t="shared" si="57"/>
        <v>0.3828882669</v>
      </c>
      <c r="E154" s="16">
        <f t="shared" si="57"/>
        <v>0.3019420702</v>
      </c>
      <c r="F154" s="16">
        <f t="shared" si="57"/>
        <v>0.02736240644</v>
      </c>
      <c r="G154" s="18">
        <f t="shared" si="57"/>
        <v>0.6648680314</v>
      </c>
      <c r="X154" s="2"/>
      <c r="Y154" s="2"/>
      <c r="Z154" s="2"/>
    </row>
    <row r="155">
      <c r="C155" s="19">
        <f t="shared" ref="C155:G155" si="58">Max(0,C143)</f>
        <v>0</v>
      </c>
      <c r="D155" s="20">
        <f t="shared" si="58"/>
        <v>0</v>
      </c>
      <c r="E155" s="20">
        <f t="shared" si="58"/>
        <v>0.1966599597</v>
      </c>
      <c r="F155" s="20">
        <f t="shared" si="58"/>
        <v>0</v>
      </c>
      <c r="G155" s="21">
        <f t="shared" si="58"/>
        <v>0</v>
      </c>
      <c r="X155" s="2"/>
      <c r="Y155" s="2"/>
      <c r="Z155" s="2"/>
    </row>
    <row r="156">
      <c r="E156" s="4" t="s">
        <v>24</v>
      </c>
      <c r="X156" s="2"/>
      <c r="Y156" s="2"/>
      <c r="Z156" s="2"/>
    </row>
    <row r="157">
      <c r="E157" s="4" t="s">
        <v>24</v>
      </c>
      <c r="X157" s="2"/>
      <c r="Y157" s="2"/>
      <c r="Z157" s="2"/>
    </row>
    <row r="158">
      <c r="B158" s="23" t="s">
        <v>25</v>
      </c>
      <c r="C158" s="12">
        <f t="array" ref="C158:G162">MMULT(J158:S162,C146:G155)</f>
        <v>0.4933317107</v>
      </c>
      <c r="D158" s="13">
        <v>-0.26778622039664035</v>
      </c>
      <c r="E158" s="13">
        <v>0.0894099628448565</v>
      </c>
      <c r="F158" s="13">
        <v>0.6157338904834606</v>
      </c>
      <c r="G158" s="14">
        <v>-0.15595124656002518</v>
      </c>
      <c r="I158" s="23" t="s">
        <v>30</v>
      </c>
      <c r="J158" s="39">
        <f t="shared" ref="J158:S158" si="59">NORMINV(rand(),0, sqrt(2/5))</f>
        <v>-0.1671291879</v>
      </c>
      <c r="K158" s="40">
        <f t="shared" si="59"/>
        <v>-0.787946565</v>
      </c>
      <c r="L158" s="40">
        <f t="shared" si="59"/>
        <v>0.8206950537</v>
      </c>
      <c r="M158" s="40">
        <f t="shared" si="59"/>
        <v>-0.1569068965</v>
      </c>
      <c r="N158" s="40">
        <f t="shared" si="59"/>
        <v>-0.2574689293</v>
      </c>
      <c r="O158" s="40">
        <f t="shared" si="59"/>
        <v>1.033894489</v>
      </c>
      <c r="P158" s="40">
        <f t="shared" si="59"/>
        <v>-0.01873900442</v>
      </c>
      <c r="Q158" s="40">
        <f t="shared" si="59"/>
        <v>-0.09660587887</v>
      </c>
      <c r="R158" s="40">
        <f t="shared" si="59"/>
        <v>-0.1615814653</v>
      </c>
      <c r="S158" s="41">
        <f t="shared" si="59"/>
        <v>0.06509402343</v>
      </c>
      <c r="X158" s="2"/>
      <c r="Y158" s="2"/>
      <c r="Z158" s="2"/>
    </row>
    <row r="159">
      <c r="B159" s="23" t="s">
        <v>31</v>
      </c>
      <c r="C159" s="17">
        <v>-0.46147084938760297</v>
      </c>
      <c r="D159" s="16">
        <v>-0.48501893307227095</v>
      </c>
      <c r="E159" s="16">
        <v>-0.8624810571045622</v>
      </c>
      <c r="F159" s="16">
        <v>-0.45210902429564254</v>
      </c>
      <c r="G159" s="18">
        <v>-0.7882185253769193</v>
      </c>
      <c r="H159" s="2"/>
      <c r="I159" s="23" t="s">
        <v>32</v>
      </c>
      <c r="J159" s="42">
        <f t="shared" ref="J159:S159" si="60">NORMINV(rand(),0, sqrt(2/5))</f>
        <v>0.975340244</v>
      </c>
      <c r="K159" s="43">
        <f t="shared" si="60"/>
        <v>-0.4960092824</v>
      </c>
      <c r="L159" s="43">
        <f t="shared" si="60"/>
        <v>-0.2462491202</v>
      </c>
      <c r="M159" s="43">
        <f t="shared" si="60"/>
        <v>0.09370498394</v>
      </c>
      <c r="N159" s="43">
        <f t="shared" si="60"/>
        <v>-0.3021592285</v>
      </c>
      <c r="O159" s="43">
        <f t="shared" si="60"/>
        <v>-0.9207140806</v>
      </c>
      <c r="P159" s="43">
        <f t="shared" si="60"/>
        <v>0.2332317657</v>
      </c>
      <c r="Q159" s="43">
        <f t="shared" si="60"/>
        <v>0.0123951018</v>
      </c>
      <c r="R159" s="43">
        <f t="shared" si="60"/>
        <v>-0.1189217931</v>
      </c>
      <c r="S159" s="44">
        <f t="shared" si="60"/>
        <v>0.1248716155</v>
      </c>
      <c r="T159" s="2"/>
      <c r="U159" s="2"/>
      <c r="V159" s="2"/>
      <c r="W159" s="2"/>
      <c r="X159" s="2"/>
      <c r="Y159" s="2"/>
      <c r="Z159" s="2"/>
    </row>
    <row r="160">
      <c r="B160" s="1"/>
      <c r="C160" s="17">
        <v>-0.3205857021150633</v>
      </c>
      <c r="D160" s="16">
        <v>2.5935397293541325</v>
      </c>
      <c r="E160" s="16">
        <v>0.4669867078186898</v>
      </c>
      <c r="F160" s="16">
        <v>-0.04666931969518142</v>
      </c>
      <c r="G160" s="18">
        <v>3.3837526050140565</v>
      </c>
      <c r="H160" s="2"/>
      <c r="I160" s="1"/>
      <c r="J160" s="42">
        <f t="shared" ref="J160:S160" si="61">NORMINV(rand(),0, sqrt(2/5))</f>
        <v>1.451759328</v>
      </c>
      <c r="K160" s="43">
        <f t="shared" si="61"/>
        <v>0.6275389176</v>
      </c>
      <c r="L160" s="43">
        <f t="shared" si="61"/>
        <v>0.1048255541</v>
      </c>
      <c r="M160" s="43">
        <f t="shared" si="61"/>
        <v>-0.5572094648</v>
      </c>
      <c r="N160" s="43">
        <f t="shared" si="61"/>
        <v>1.218800979</v>
      </c>
      <c r="O160" s="43">
        <f t="shared" si="61"/>
        <v>-0.4076557544</v>
      </c>
      <c r="P160" s="43">
        <f t="shared" si="61"/>
        <v>0.6353574472</v>
      </c>
      <c r="Q160" s="43">
        <f t="shared" si="61"/>
        <v>-0.03736118384</v>
      </c>
      <c r="R160" s="43">
        <f t="shared" si="61"/>
        <v>-0.4535475741</v>
      </c>
      <c r="S160" s="44">
        <f t="shared" si="61"/>
        <v>-0.3752973495</v>
      </c>
      <c r="T160" s="2"/>
      <c r="U160" s="2"/>
      <c r="V160" s="2"/>
      <c r="W160" s="2"/>
      <c r="X160" s="2"/>
      <c r="Y160" s="2"/>
      <c r="Z160" s="2"/>
    </row>
    <row r="161">
      <c r="B161" s="1"/>
      <c r="C161" s="17">
        <v>-0.3596534371524619</v>
      </c>
      <c r="D161" s="16">
        <v>0.08545854146622578</v>
      </c>
      <c r="E161" s="16">
        <v>0.8673695597927215</v>
      </c>
      <c r="F161" s="16">
        <v>-0.3839943321504898</v>
      </c>
      <c r="G161" s="18">
        <v>0.16232271492301753</v>
      </c>
      <c r="H161" s="162" t="s">
        <v>28</v>
      </c>
      <c r="I161" s="162" t="s">
        <v>28</v>
      </c>
      <c r="J161" s="42">
        <f t="shared" ref="J161:S161" si="62">NORMINV(rand(),0, sqrt(2/5))</f>
        <v>-0.8613108267</v>
      </c>
      <c r="K161" s="43">
        <f t="shared" si="62"/>
        <v>1.00302744</v>
      </c>
      <c r="L161" s="43">
        <f t="shared" si="62"/>
        <v>-0.002919323586</v>
      </c>
      <c r="M161" s="43">
        <f t="shared" si="62"/>
        <v>-0.4815409634</v>
      </c>
      <c r="N161" s="43">
        <f t="shared" si="62"/>
        <v>-0.1765270605</v>
      </c>
      <c r="O161" s="43">
        <f t="shared" si="62"/>
        <v>-0.5487084724</v>
      </c>
      <c r="P161" s="43">
        <f t="shared" si="62"/>
        <v>0.677884406</v>
      </c>
      <c r="Q161" s="43">
        <f t="shared" si="62"/>
        <v>0.3176286625</v>
      </c>
      <c r="R161" s="43">
        <f t="shared" si="62"/>
        <v>-0.4351740689</v>
      </c>
      <c r="S161" s="44">
        <f t="shared" si="62"/>
        <v>-0.03124949023</v>
      </c>
      <c r="T161" s="2"/>
      <c r="U161" s="2"/>
      <c r="V161" s="2"/>
      <c r="W161" s="2"/>
      <c r="X161" s="2"/>
      <c r="Y161" s="2"/>
      <c r="Z161" s="2"/>
    </row>
    <row r="162">
      <c r="B162" s="1"/>
      <c r="C162" s="19">
        <v>-0.16649738254465613</v>
      </c>
      <c r="D162" s="20">
        <v>-2.599757539981636</v>
      </c>
      <c r="E162" s="20">
        <v>0.6912170006334043</v>
      </c>
      <c r="F162" s="20">
        <v>-0.34478551196838486</v>
      </c>
      <c r="G162" s="21">
        <v>-2.8141133063793027</v>
      </c>
      <c r="H162" s="2"/>
      <c r="I162" s="1"/>
      <c r="J162" s="45">
        <f t="shared" ref="J162:S162" si="63">NORMINV(rand(),0, sqrt(2/5))</f>
        <v>0.8563393759</v>
      </c>
      <c r="K162" s="46">
        <f t="shared" si="63"/>
        <v>-0.008753465336</v>
      </c>
      <c r="L162" s="46">
        <f t="shared" si="63"/>
        <v>-0.2917039351</v>
      </c>
      <c r="M162" s="46">
        <f t="shared" si="63"/>
        <v>0.5061615019</v>
      </c>
      <c r="N162" s="46">
        <f t="shared" si="63"/>
        <v>-0.8871093069</v>
      </c>
      <c r="O162" s="46">
        <f t="shared" si="63"/>
        <v>-0.4119792372</v>
      </c>
      <c r="P162" s="46">
        <f t="shared" si="63"/>
        <v>-1.001697781</v>
      </c>
      <c r="Q162" s="46">
        <f t="shared" si="63"/>
        <v>1.129826443</v>
      </c>
      <c r="R162" s="46">
        <f t="shared" si="63"/>
        <v>-0.312380397</v>
      </c>
      <c r="S162" s="47">
        <f t="shared" si="63"/>
        <v>0.4619022684</v>
      </c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4" t="s">
        <v>24</v>
      </c>
      <c r="F163" s="2"/>
      <c r="G163" s="2"/>
      <c r="H163" s="2"/>
      <c r="I163" s="1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4" t="s">
        <v>24</v>
      </c>
      <c r="F164" s="2"/>
      <c r="G164" s="2"/>
      <c r="H164" s="2"/>
      <c r="I164" s="1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23" t="s">
        <v>33</v>
      </c>
      <c r="C165" s="12">
        <f t="array" ref="C165:G169">C158:G162+C127:G131</f>
        <v>0.6043509661</v>
      </c>
      <c r="D165" s="13">
        <v>-0.3342434449845625</v>
      </c>
      <c r="E165" s="13">
        <v>-0.45047734262927497</v>
      </c>
      <c r="F165" s="13">
        <v>0.578332915737037</v>
      </c>
      <c r="G165" s="14">
        <v>-0.5231135873002788</v>
      </c>
      <c r="H165" s="2"/>
      <c r="I165" s="1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23"/>
      <c r="C166" s="17">
        <v>-0.6322401623213663</v>
      </c>
      <c r="D166" s="16">
        <v>-0.22869969726962336</v>
      </c>
      <c r="E166" s="16">
        <v>-1.2926752875899747</v>
      </c>
      <c r="F166" s="16">
        <v>-0.6865443361084018</v>
      </c>
      <c r="G166" s="18">
        <v>-0.5088707936031871</v>
      </c>
      <c r="H166" s="2"/>
      <c r="I166" s="1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17">
        <v>-0.5572488223983713</v>
      </c>
      <c r="D167" s="16">
        <v>2.4769577170598946</v>
      </c>
      <c r="E167" s="16">
        <v>1.6093781383725252</v>
      </c>
      <c r="F167" s="16">
        <v>-0.5467973058068314</v>
      </c>
      <c r="G167" s="18">
        <v>3.471226021860751</v>
      </c>
      <c r="H167" s="2"/>
      <c r="I167" s="1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17">
        <v>0.051536714216977586</v>
      </c>
      <c r="D168" s="16">
        <v>-0.5739929374804085</v>
      </c>
      <c r="E168" s="16">
        <v>0.9080897404517269</v>
      </c>
      <c r="F168" s="16">
        <v>-0.05956137974961562</v>
      </c>
      <c r="G168" s="18">
        <v>-0.8004333631642927</v>
      </c>
      <c r="H168" s="2"/>
      <c r="I168" s="1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23"/>
      <c r="C169" s="19">
        <v>-0.5852413750879157</v>
      </c>
      <c r="D169" s="20">
        <v>-2.991276844027724</v>
      </c>
      <c r="E169" s="20">
        <v>0.8289742170086081</v>
      </c>
      <c r="F169" s="20">
        <v>-0.4226563672190214</v>
      </c>
      <c r="G169" s="21">
        <v>-3.0735106838053032</v>
      </c>
      <c r="H169" s="2"/>
      <c r="I169" s="163" t="s">
        <v>34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1" t="s">
        <v>35</v>
      </c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6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6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23" t="s">
        <v>4</v>
      </c>
      <c r="C174" s="39">
        <f t="shared" ref="C174:E174" si="64">NORMINV(rand(),0, sqrt(2/5))</f>
        <v>-0.8122507846</v>
      </c>
      <c r="D174" s="40">
        <f t="shared" si="64"/>
        <v>0.06982120832</v>
      </c>
      <c r="E174" s="41">
        <f t="shared" si="64"/>
        <v>1.035874198</v>
      </c>
      <c r="F174" s="43"/>
      <c r="G174" s="43"/>
      <c r="W174" s="43"/>
      <c r="X174" s="43"/>
      <c r="Y174" s="43"/>
      <c r="Z174" s="43"/>
    </row>
    <row r="175">
      <c r="B175" s="1"/>
      <c r="C175" s="42">
        <f t="shared" ref="C175:E175" si="65">NORMINV(rand(),0, sqrt(2/5))</f>
        <v>0.4408056052</v>
      </c>
      <c r="D175" s="43">
        <f t="shared" si="65"/>
        <v>0.1626532228</v>
      </c>
      <c r="E175" s="44">
        <f t="shared" si="65"/>
        <v>0.01333344132</v>
      </c>
      <c r="F175" s="43"/>
      <c r="G175" s="43"/>
      <c r="W175" s="43"/>
      <c r="X175" s="43"/>
      <c r="Y175" s="43"/>
      <c r="Z175" s="43"/>
    </row>
    <row r="176">
      <c r="B176" s="1"/>
      <c r="C176" s="45">
        <f t="shared" ref="C176:E176" si="66">NORMINV(rand(),0, sqrt(2/5))</f>
        <v>-0.6108828316</v>
      </c>
      <c r="D176" s="46">
        <f t="shared" si="66"/>
        <v>1.124395617</v>
      </c>
      <c r="E176" s="47">
        <f t="shared" si="66"/>
        <v>0.1639606775</v>
      </c>
      <c r="F176" s="43"/>
      <c r="G176" s="43"/>
      <c r="W176" s="43"/>
      <c r="X176" s="43"/>
      <c r="Y176" s="43"/>
      <c r="Z176" s="43"/>
    </row>
    <row r="177">
      <c r="D177" s="4" t="s">
        <v>24</v>
      </c>
      <c r="U177" s="43"/>
      <c r="V177" s="43"/>
      <c r="W177" s="43"/>
      <c r="X177" s="43"/>
      <c r="Y177" s="43"/>
      <c r="Z177" s="43"/>
    </row>
    <row r="178">
      <c r="C178" s="16"/>
      <c r="D178" s="4" t="s">
        <v>24</v>
      </c>
      <c r="E178" s="16"/>
      <c r="F178" s="16"/>
      <c r="G178" s="16"/>
      <c r="U178" s="43"/>
      <c r="V178" s="43"/>
      <c r="W178" s="43"/>
      <c r="X178" s="43"/>
      <c r="Y178" s="43"/>
      <c r="Z178" s="43"/>
    </row>
    <row r="179">
      <c r="B179" s="23" t="s">
        <v>36</v>
      </c>
      <c r="C179" s="12">
        <f t="array" ref="C179:E181">MMULT(O179:T181 ,MMULT(I179:K184,C174:E176))+C174:E176</f>
        <v>0.08301742305</v>
      </c>
      <c r="D179" s="13">
        <v>0.677913174917862</v>
      </c>
      <c r="E179" s="14">
        <v>0.31804361399797776</v>
      </c>
      <c r="F179" s="53" t="s">
        <v>28</v>
      </c>
      <c r="G179" s="53" t="s">
        <v>28</v>
      </c>
      <c r="H179" s="23" t="s">
        <v>26</v>
      </c>
      <c r="I179" s="39">
        <f t="shared" ref="I179:K179" si="67">NORMINV(rand(),0, sqrt(2/5))</f>
        <v>-0.4418788028</v>
      </c>
      <c r="J179" s="40">
        <f t="shared" si="67"/>
        <v>-0.08143755548</v>
      </c>
      <c r="K179" s="41">
        <f t="shared" si="67"/>
        <v>-0.277221794</v>
      </c>
      <c r="N179" s="23" t="s">
        <v>30</v>
      </c>
      <c r="O179" s="39">
        <f t="shared" ref="O179:T179" si="68">NORMINV(rand(),0, sqrt(2/5))</f>
        <v>-0.08181787662</v>
      </c>
      <c r="P179" s="40">
        <f t="shared" si="68"/>
        <v>-0.09121058822</v>
      </c>
      <c r="Q179" s="40">
        <f t="shared" si="68"/>
        <v>-0.4924893761</v>
      </c>
      <c r="R179" s="40">
        <f t="shared" si="68"/>
        <v>0.4787523571</v>
      </c>
      <c r="S179" s="40">
        <f t="shared" si="68"/>
        <v>0.3641167933</v>
      </c>
      <c r="T179" s="41">
        <f t="shared" si="68"/>
        <v>-0.9620916622</v>
      </c>
      <c r="U179" s="2"/>
      <c r="V179" s="2"/>
      <c r="W179" s="2"/>
      <c r="X179" s="2"/>
      <c r="Y179" s="2"/>
      <c r="Z179" s="2"/>
    </row>
    <row r="180">
      <c r="B180" s="23" t="s">
        <v>37</v>
      </c>
      <c r="C180" s="17">
        <v>-0.8747711763881534</v>
      </c>
      <c r="D180" s="16">
        <v>0.4844576030718205</v>
      </c>
      <c r="E180" s="18">
        <v>1.0546091569804648</v>
      </c>
      <c r="F180" s="16"/>
      <c r="G180" s="16"/>
      <c r="H180" s="23" t="s">
        <v>27</v>
      </c>
      <c r="I180" s="42">
        <f t="shared" ref="I180:K180" si="69">NORMINV(rand(),0, sqrt(2/5))</f>
        <v>-0.5378688987</v>
      </c>
      <c r="J180" s="43">
        <f t="shared" si="69"/>
        <v>0.2043872881</v>
      </c>
      <c r="K180" s="44">
        <f t="shared" si="69"/>
        <v>-0.2619793867</v>
      </c>
      <c r="N180" s="23" t="s">
        <v>32</v>
      </c>
      <c r="O180" s="42">
        <f t="shared" ref="O180:T180" si="70">NORMINV(rand(),0, sqrt(2/5))</f>
        <v>-0.03329135572</v>
      </c>
      <c r="P180" s="43">
        <f t="shared" si="70"/>
        <v>-1.048240694</v>
      </c>
      <c r="Q180" s="43">
        <f t="shared" si="70"/>
        <v>0.06209401793</v>
      </c>
      <c r="R180" s="43">
        <f t="shared" si="70"/>
        <v>-1.210127981</v>
      </c>
      <c r="S180" s="43">
        <f t="shared" si="70"/>
        <v>0.3633042366</v>
      </c>
      <c r="T180" s="44">
        <f t="shared" si="70"/>
        <v>-0.1263872764</v>
      </c>
      <c r="U180" s="43"/>
      <c r="V180" s="43"/>
      <c r="W180" s="43"/>
      <c r="X180" s="2"/>
      <c r="Y180" s="2"/>
      <c r="Z180" s="2"/>
    </row>
    <row r="181">
      <c r="B181" s="165" t="s">
        <v>38</v>
      </c>
      <c r="C181" s="19">
        <v>-1.8264851079891316</v>
      </c>
      <c r="D181" s="20">
        <v>1.402561060256598</v>
      </c>
      <c r="E181" s="21">
        <v>0.16709558242636185</v>
      </c>
      <c r="F181" s="53"/>
      <c r="G181" s="53"/>
      <c r="H181" s="166"/>
      <c r="I181" s="42">
        <f t="shared" ref="I181:K181" si="71">NORMINV(rand(),0, sqrt(2/5))</f>
        <v>0.5401529739</v>
      </c>
      <c r="J181" s="43">
        <f t="shared" si="71"/>
        <v>-0.6089773135</v>
      </c>
      <c r="K181" s="44">
        <f t="shared" si="71"/>
        <v>-0.3288445757</v>
      </c>
      <c r="N181" s="1"/>
      <c r="O181" s="45">
        <f t="shared" ref="O181:T181" si="72">NORMINV(rand(),0, sqrt(2/5))</f>
        <v>0.00485503874</v>
      </c>
      <c r="P181" s="46">
        <f t="shared" si="72"/>
        <v>0.7667998325</v>
      </c>
      <c r="Q181" s="46">
        <f t="shared" si="72"/>
        <v>-0.2159910584</v>
      </c>
      <c r="R181" s="46">
        <f t="shared" si="72"/>
        <v>-1.11455208</v>
      </c>
      <c r="S181" s="46">
        <f t="shared" si="72"/>
        <v>-2.39891846</v>
      </c>
      <c r="T181" s="47">
        <f t="shared" si="72"/>
        <v>0.676116792</v>
      </c>
      <c r="U181" s="43"/>
      <c r="V181" s="43"/>
      <c r="W181" s="43"/>
      <c r="X181" s="2"/>
      <c r="Y181" s="2"/>
      <c r="Z181" s="2"/>
    </row>
    <row r="182">
      <c r="F182" s="16"/>
      <c r="G182" s="16"/>
      <c r="H182" s="1"/>
      <c r="I182" s="42">
        <f t="shared" ref="I182:K182" si="73">NORMINV(rand(),0, sqrt(2/5))</f>
        <v>-0.3142750285</v>
      </c>
      <c r="J182" s="43">
        <f t="shared" si="73"/>
        <v>0.6304641908</v>
      </c>
      <c r="K182" s="44">
        <f t="shared" si="73"/>
        <v>-0.1198786821</v>
      </c>
      <c r="M182" s="43"/>
      <c r="N182" s="43"/>
      <c r="O182" s="2"/>
      <c r="P182" s="162"/>
      <c r="Q182" s="43"/>
      <c r="R182" s="43"/>
      <c r="S182" s="43"/>
      <c r="T182" s="43"/>
      <c r="U182" s="43"/>
      <c r="V182" s="43"/>
      <c r="W182" s="43"/>
      <c r="X182" s="2"/>
      <c r="Y182" s="2"/>
      <c r="Z182" s="2"/>
    </row>
    <row r="183">
      <c r="F183" s="16"/>
      <c r="G183" s="16"/>
      <c r="H183" s="1"/>
      <c r="I183" s="42">
        <f t="shared" ref="I183:K183" si="74">NORMINV(rand(),0, sqrt(2/5))</f>
        <v>0.08777128394</v>
      </c>
      <c r="J183" s="43">
        <f t="shared" si="74"/>
        <v>0.5899236827</v>
      </c>
      <c r="K183" s="44">
        <f t="shared" si="74"/>
        <v>-0.3449041499</v>
      </c>
      <c r="M183" s="43"/>
      <c r="N183" s="43"/>
      <c r="O183" s="2"/>
      <c r="P183" s="1"/>
      <c r="Q183" s="43"/>
      <c r="R183" s="43"/>
      <c r="S183" s="43"/>
      <c r="T183" s="43"/>
      <c r="U183" s="43"/>
      <c r="V183" s="43"/>
      <c r="W183" s="43"/>
      <c r="X183" s="2"/>
      <c r="Y183" s="2"/>
      <c r="Z183" s="2"/>
    </row>
    <row r="184">
      <c r="F184" s="16"/>
      <c r="G184" s="16"/>
      <c r="H184" s="162"/>
      <c r="I184" s="45">
        <f t="shared" ref="I184:K184" si="75">NORMINV(rand(),0, sqrt(2/5))</f>
        <v>0.4937312809</v>
      </c>
      <c r="J184" s="46">
        <f t="shared" si="75"/>
        <v>-0.3934536993</v>
      </c>
      <c r="K184" s="47">
        <f t="shared" si="75"/>
        <v>-0.407654237</v>
      </c>
      <c r="M184" s="43"/>
      <c r="N184" s="43"/>
      <c r="O184" s="2"/>
      <c r="P184" s="2"/>
      <c r="Q184" s="2"/>
      <c r="R184" s="2"/>
      <c r="S184" s="2"/>
      <c r="T184" s="2"/>
      <c r="U184" s="43"/>
      <c r="V184" s="43"/>
      <c r="W184" s="43"/>
      <c r="X184" s="2"/>
      <c r="Y184" s="2"/>
      <c r="Z184" s="2"/>
    </row>
    <row r="185">
      <c r="U185" s="43"/>
      <c r="V185" s="43"/>
      <c r="W185" s="43"/>
      <c r="X185" s="43"/>
      <c r="Y185" s="43"/>
      <c r="Z185" s="43"/>
    </row>
    <row r="186">
      <c r="A186" s="151" t="s">
        <v>39</v>
      </c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23" t="s">
        <v>4</v>
      </c>
      <c r="C188" s="39">
        <f t="shared" ref="C188:E188" si="76">NORMINV(rand(),0, sqrt(2/5))</f>
        <v>-0.4401800605</v>
      </c>
      <c r="D188" s="40">
        <f t="shared" si="76"/>
        <v>0.6297877769</v>
      </c>
      <c r="E188" s="41">
        <f t="shared" si="76"/>
        <v>-0.2028372495</v>
      </c>
      <c r="F188" s="43"/>
      <c r="G188" s="43"/>
      <c r="U188" s="2"/>
      <c r="V188" s="2"/>
      <c r="W188" s="2"/>
      <c r="X188" s="2"/>
      <c r="Y188" s="2"/>
      <c r="Z188" s="2"/>
    </row>
    <row r="189">
      <c r="B189" s="1"/>
      <c r="C189" s="42">
        <f t="shared" ref="C189:E189" si="77">NORMINV(rand(),0, sqrt(2/5))</f>
        <v>-0.06591216248</v>
      </c>
      <c r="D189" s="43">
        <f t="shared" si="77"/>
        <v>0.3200098363</v>
      </c>
      <c r="E189" s="44">
        <f t="shared" si="77"/>
        <v>1.163957534</v>
      </c>
      <c r="F189" s="43"/>
      <c r="G189" s="43"/>
      <c r="U189" s="2"/>
      <c r="V189" s="2"/>
      <c r="W189" s="2"/>
      <c r="X189" s="2"/>
      <c r="Y189" s="2"/>
      <c r="Z189" s="2"/>
    </row>
    <row r="190">
      <c r="B190" s="1"/>
      <c r="C190" s="45">
        <f t="shared" ref="C190:E190" si="78">NORMINV(rand(),0, sqrt(2/5))</f>
        <v>0.2070155348</v>
      </c>
      <c r="D190" s="46">
        <f t="shared" si="78"/>
        <v>0.3829772351</v>
      </c>
      <c r="E190" s="47">
        <f t="shared" si="78"/>
        <v>0.6353254925</v>
      </c>
      <c r="F190" s="43"/>
      <c r="G190" s="43"/>
      <c r="W190" s="43"/>
      <c r="X190" s="43"/>
      <c r="Y190" s="43"/>
      <c r="Z190" s="43"/>
    </row>
    <row r="191">
      <c r="D191" s="4" t="s">
        <v>24</v>
      </c>
      <c r="W191" s="43"/>
      <c r="X191" s="43"/>
      <c r="Y191" s="43"/>
      <c r="Z191" s="43"/>
    </row>
    <row r="192">
      <c r="C192" s="16"/>
      <c r="D192" s="4" t="s">
        <v>24</v>
      </c>
      <c r="E192" s="16"/>
      <c r="F192" s="16"/>
      <c r="G192" s="16"/>
      <c r="W192" s="43"/>
      <c r="X192" s="43"/>
      <c r="Y192" s="43"/>
      <c r="Z192" s="43"/>
    </row>
    <row r="193">
      <c r="B193" s="23" t="s">
        <v>36</v>
      </c>
      <c r="C193" s="12">
        <f t="array" ref="C193:E195">MMULT(O193:T195 ,MMULT(I193:K198,C188:E190))+C188:E190</f>
        <v>-1.23491654</v>
      </c>
      <c r="D193" s="13">
        <v>0.6745744470682429</v>
      </c>
      <c r="E193" s="14">
        <v>-2.5450444976330915</v>
      </c>
      <c r="F193" s="53" t="s">
        <v>28</v>
      </c>
      <c r="G193" s="53" t="s">
        <v>28</v>
      </c>
      <c r="H193" s="23" t="s">
        <v>26</v>
      </c>
      <c r="I193" s="39">
        <f t="shared" ref="I193:K193" si="79">NORMINV(rand(),0, sqrt(2/5))</f>
        <v>0.0690268566</v>
      </c>
      <c r="J193" s="40">
        <f t="shared" si="79"/>
        <v>-0.1834686402</v>
      </c>
      <c r="K193" s="41">
        <f t="shared" si="79"/>
        <v>-1.207895286</v>
      </c>
      <c r="N193" s="23" t="s">
        <v>30</v>
      </c>
      <c r="O193" s="39">
        <f t="shared" ref="O193:T193" si="80">NORMINV(rand(),0, sqrt(2/5))</f>
        <v>-1.094390374</v>
      </c>
      <c r="P193" s="40">
        <f t="shared" si="80"/>
        <v>0.4605710176</v>
      </c>
      <c r="Q193" s="40">
        <f t="shared" si="80"/>
        <v>0.7585316627</v>
      </c>
      <c r="R193" s="40">
        <f t="shared" si="80"/>
        <v>0.8817653431</v>
      </c>
      <c r="S193" s="40">
        <f t="shared" si="80"/>
        <v>-0.3738352338</v>
      </c>
      <c r="T193" s="41">
        <f t="shared" si="80"/>
        <v>-0.7997482361</v>
      </c>
      <c r="U193" s="43"/>
      <c r="V193" s="43"/>
      <c r="W193" s="43"/>
      <c r="X193" s="43"/>
      <c r="Y193" s="43"/>
      <c r="Z193" s="43"/>
    </row>
    <row r="194">
      <c r="B194" s="23" t="s">
        <v>37</v>
      </c>
      <c r="C194" s="17">
        <v>0.7987785146552672</v>
      </c>
      <c r="D194" s="16">
        <v>0.19540907408986286</v>
      </c>
      <c r="E194" s="18">
        <v>2.796873786099774</v>
      </c>
      <c r="F194" s="16"/>
      <c r="G194" s="16"/>
      <c r="H194" s="23" t="s">
        <v>27</v>
      </c>
      <c r="I194" s="42">
        <f t="shared" ref="I194:K194" si="81">NORMINV(rand(),0, sqrt(2/5))</f>
        <v>-0.139218778</v>
      </c>
      <c r="J194" s="43">
        <f t="shared" si="81"/>
        <v>0.8612645464</v>
      </c>
      <c r="K194" s="44">
        <f t="shared" si="81"/>
        <v>-0.675014317</v>
      </c>
      <c r="N194" s="23" t="s">
        <v>32</v>
      </c>
      <c r="O194" s="42">
        <f t="shared" ref="O194:T194" si="82">NORMINV(rand(),0, sqrt(2/5))</f>
        <v>0.02124464814</v>
      </c>
      <c r="P194" s="43">
        <f t="shared" si="82"/>
        <v>-0.6006779271</v>
      </c>
      <c r="Q194" s="43">
        <f t="shared" si="82"/>
        <v>-0.799492779</v>
      </c>
      <c r="R194" s="43">
        <f t="shared" si="82"/>
        <v>-0.6270197568</v>
      </c>
      <c r="S194" s="43">
        <f t="shared" si="82"/>
        <v>-0.3163362979</v>
      </c>
      <c r="T194" s="44">
        <f t="shared" si="82"/>
        <v>0.4065427476</v>
      </c>
      <c r="U194" s="43"/>
      <c r="V194" s="43"/>
      <c r="W194" s="43"/>
      <c r="X194" s="43"/>
      <c r="Y194" s="43"/>
      <c r="Z194" s="43"/>
    </row>
    <row r="195">
      <c r="B195" s="165" t="s">
        <v>38</v>
      </c>
      <c r="C195" s="19">
        <v>1.7189887458923458</v>
      </c>
      <c r="D195" s="20">
        <v>-0.13846619859415327</v>
      </c>
      <c r="E195" s="21">
        <v>3.353046912216418</v>
      </c>
      <c r="F195" s="16"/>
      <c r="G195" s="16"/>
      <c r="H195" s="1"/>
      <c r="I195" s="42">
        <f t="shared" ref="I195:K195" si="83">NORMINV(rand(),0, sqrt(2/5))</f>
        <v>0.2193338367</v>
      </c>
      <c r="J195" s="43">
        <f t="shared" si="83"/>
        <v>-0.6144484801</v>
      </c>
      <c r="K195" s="44">
        <f t="shared" si="83"/>
        <v>-0.491347339</v>
      </c>
      <c r="N195" s="1"/>
      <c r="O195" s="45">
        <f t="shared" ref="O195:T195" si="84">NORMINV(rand(),0, sqrt(2/5))</f>
        <v>-0.8503483825</v>
      </c>
      <c r="P195" s="46">
        <f t="shared" si="84"/>
        <v>0.2648010428</v>
      </c>
      <c r="Q195" s="46">
        <f t="shared" si="84"/>
        <v>0.1636772875</v>
      </c>
      <c r="R195" s="46">
        <f t="shared" si="84"/>
        <v>-1.461682737</v>
      </c>
      <c r="S195" s="46">
        <f t="shared" si="84"/>
        <v>-0.7868130069</v>
      </c>
      <c r="T195" s="47">
        <f t="shared" si="84"/>
        <v>0.5271021677</v>
      </c>
      <c r="U195" s="2"/>
      <c r="V195" s="2"/>
      <c r="W195" s="2"/>
      <c r="X195" s="2"/>
      <c r="Y195" s="2"/>
      <c r="Z195" s="2"/>
    </row>
    <row r="196">
      <c r="D196" s="4" t="s">
        <v>24</v>
      </c>
      <c r="F196" s="16"/>
      <c r="G196" s="16"/>
      <c r="H196" s="1"/>
      <c r="I196" s="42">
        <f t="shared" ref="I196:K196" si="85">NORMINV(rand(),0, sqrt(2/5))</f>
        <v>0.9688560869</v>
      </c>
      <c r="J196" s="43">
        <f t="shared" si="85"/>
        <v>-0.2312907086</v>
      </c>
      <c r="K196" s="44">
        <f t="shared" si="85"/>
        <v>-1.15429002</v>
      </c>
      <c r="M196" s="43"/>
      <c r="N196" s="43"/>
      <c r="O196" s="2"/>
      <c r="P196" s="162"/>
      <c r="Q196" s="43"/>
      <c r="R196" s="43"/>
      <c r="S196" s="43"/>
      <c r="T196" s="43"/>
      <c r="U196" s="43"/>
      <c r="V196" s="43"/>
      <c r="W196" s="43"/>
      <c r="X196" s="2"/>
      <c r="Y196" s="2"/>
      <c r="Z196" s="2"/>
    </row>
    <row r="197">
      <c r="D197" s="4" t="s">
        <v>24</v>
      </c>
      <c r="F197" s="16"/>
      <c r="G197" s="16"/>
      <c r="H197" s="1"/>
      <c r="I197" s="42">
        <f t="shared" ref="I197:K197" si="86">NORMINV(rand(),0, sqrt(2/5))</f>
        <v>0.6843637411</v>
      </c>
      <c r="J197" s="43">
        <f t="shared" si="86"/>
        <v>0.5689120507</v>
      </c>
      <c r="K197" s="44">
        <f t="shared" si="86"/>
        <v>0.8158807625</v>
      </c>
      <c r="M197" s="43"/>
      <c r="N197" s="43"/>
      <c r="O197" s="2"/>
      <c r="P197" s="1"/>
      <c r="Q197" s="43"/>
      <c r="R197" s="43"/>
      <c r="S197" s="43"/>
      <c r="T197" s="43"/>
      <c r="U197" s="43"/>
      <c r="V197" s="43"/>
      <c r="W197" s="43"/>
      <c r="X197" s="2"/>
      <c r="Y197" s="2"/>
      <c r="Z197" s="2"/>
    </row>
    <row r="198">
      <c r="D198" s="4" t="s">
        <v>24</v>
      </c>
      <c r="F198" s="16"/>
      <c r="G198" s="16"/>
      <c r="H198" s="162"/>
      <c r="I198" s="45">
        <f t="shared" ref="I198:K198" si="87">NORMINV(rand(),0, sqrt(2/5))</f>
        <v>-0.9477180015</v>
      </c>
      <c r="J198" s="46">
        <f t="shared" si="87"/>
        <v>1.007982136</v>
      </c>
      <c r="K198" s="47">
        <f t="shared" si="87"/>
        <v>0.7015646892</v>
      </c>
      <c r="M198" s="43"/>
      <c r="N198" s="43"/>
      <c r="O198" s="2"/>
      <c r="P198" s="2"/>
      <c r="Q198" s="2"/>
      <c r="R198" s="2"/>
      <c r="S198" s="2"/>
      <c r="T198" s="2"/>
      <c r="U198" s="43"/>
      <c r="V198" s="43"/>
      <c r="W198" s="43"/>
      <c r="X198" s="2"/>
      <c r="Y198" s="2"/>
      <c r="Z198" s="2"/>
    </row>
    <row r="199">
      <c r="D199" s="4" t="s">
        <v>24</v>
      </c>
      <c r="W199" s="43"/>
      <c r="X199" s="43"/>
      <c r="Y199" s="43"/>
      <c r="Z199" s="43"/>
    </row>
    <row r="200">
      <c r="D200" s="4" t="s">
        <v>24</v>
      </c>
      <c r="W200" s="43"/>
      <c r="X200" s="43"/>
      <c r="Y200" s="43"/>
      <c r="Z200" s="43"/>
    </row>
    <row r="201">
      <c r="B201" s="23" t="s">
        <v>40</v>
      </c>
      <c r="C201" s="167" t="s">
        <v>41</v>
      </c>
      <c r="D201" s="13"/>
      <c r="E201" s="14"/>
      <c r="W201" s="43"/>
      <c r="X201" s="43"/>
      <c r="Y201" s="43"/>
      <c r="Z201" s="43"/>
    </row>
    <row r="202">
      <c r="C202" s="17"/>
      <c r="D202" s="16"/>
      <c r="E202" s="18"/>
      <c r="W202" s="43"/>
      <c r="X202" s="43"/>
      <c r="Y202" s="43"/>
      <c r="Z202" s="43"/>
    </row>
    <row r="203">
      <c r="C203" s="19"/>
      <c r="D203" s="20"/>
      <c r="E203" s="21"/>
      <c r="W203" s="43"/>
      <c r="X203" s="43"/>
      <c r="Y203" s="43"/>
      <c r="Z203" s="43"/>
    </row>
    <row r="204">
      <c r="F204" s="16"/>
      <c r="G204" s="16"/>
      <c r="H204" s="1"/>
      <c r="I204" s="43"/>
      <c r="J204" s="43"/>
      <c r="K204" s="43"/>
      <c r="M204" s="43"/>
      <c r="N204" s="43"/>
      <c r="O204" s="2"/>
      <c r="P204" s="1"/>
      <c r="Q204" s="43"/>
      <c r="R204" s="43"/>
      <c r="S204" s="43"/>
      <c r="T204" s="43"/>
      <c r="U204" s="43"/>
      <c r="V204" s="43"/>
      <c r="W204" s="43"/>
      <c r="X204" s="2"/>
      <c r="Y204" s="2"/>
      <c r="Z204" s="2"/>
    </row>
    <row r="205">
      <c r="A205" s="151" t="s">
        <v>42</v>
      </c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23" t="s">
        <v>4</v>
      </c>
      <c r="C207" s="39">
        <f t="shared" ref="C207:E207" si="88">NORMINV(rand(),0, sqrt(2/5))</f>
        <v>-0.1910229904</v>
      </c>
      <c r="D207" s="40">
        <f t="shared" si="88"/>
        <v>-0.4708105325</v>
      </c>
      <c r="E207" s="41">
        <f t="shared" si="88"/>
        <v>-0.0658491764</v>
      </c>
      <c r="F207" s="43"/>
      <c r="G207" s="43"/>
      <c r="U207" s="2"/>
      <c r="V207" s="2"/>
      <c r="W207" s="2"/>
      <c r="X207" s="2"/>
      <c r="Y207" s="2"/>
      <c r="Z207" s="2"/>
    </row>
    <row r="208">
      <c r="B208" s="1"/>
      <c r="C208" s="42">
        <f t="shared" ref="C208:E208" si="89">NORMINV(rand(),0, sqrt(2/5))</f>
        <v>0.6107496188</v>
      </c>
      <c r="D208" s="43">
        <f t="shared" si="89"/>
        <v>0.2996200835</v>
      </c>
      <c r="E208" s="44">
        <f t="shared" si="89"/>
        <v>-0.1610380731</v>
      </c>
      <c r="F208" s="43"/>
      <c r="G208" s="43"/>
      <c r="U208" s="2"/>
      <c r="V208" s="2"/>
      <c r="W208" s="2"/>
      <c r="X208" s="2"/>
      <c r="Y208" s="2"/>
      <c r="Z208" s="2"/>
    </row>
    <row r="209">
      <c r="B209" s="1"/>
      <c r="C209" s="45">
        <f t="shared" ref="C209:E209" si="90">NORMINV(rand(),0, sqrt(2/5))</f>
        <v>0.4952084996</v>
      </c>
      <c r="D209" s="46">
        <f t="shared" si="90"/>
        <v>0.8634246318</v>
      </c>
      <c r="E209" s="47">
        <f t="shared" si="90"/>
        <v>0.1986325499</v>
      </c>
      <c r="F209" s="43"/>
      <c r="G209" s="43"/>
      <c r="W209" s="43"/>
      <c r="X209" s="43"/>
      <c r="Y209" s="43"/>
      <c r="Z209" s="43"/>
    </row>
    <row r="210">
      <c r="D210" s="4" t="s">
        <v>24</v>
      </c>
      <c r="W210" s="43"/>
      <c r="X210" s="43"/>
      <c r="Y210" s="43"/>
      <c r="Z210" s="43"/>
    </row>
    <row r="211">
      <c r="D211" s="4" t="s">
        <v>24</v>
      </c>
      <c r="W211" s="43"/>
      <c r="X211" s="43"/>
      <c r="Y211" s="43"/>
      <c r="Z211" s="43"/>
    </row>
    <row r="212">
      <c r="B212" s="23" t="s">
        <v>40</v>
      </c>
      <c r="C212" s="167" t="s">
        <v>43</v>
      </c>
      <c r="D212" s="13"/>
      <c r="E212" s="14"/>
      <c r="W212" s="43"/>
      <c r="X212" s="43"/>
      <c r="Y212" s="43"/>
      <c r="Z212" s="43"/>
    </row>
    <row r="213">
      <c r="C213" s="17"/>
      <c r="D213" s="16"/>
      <c r="E213" s="18"/>
      <c r="W213" s="43"/>
      <c r="X213" s="43"/>
      <c r="Y213" s="43"/>
      <c r="Z213" s="43"/>
    </row>
    <row r="214">
      <c r="C214" s="19"/>
      <c r="D214" s="20"/>
      <c r="E214" s="21"/>
      <c r="W214" s="43"/>
      <c r="X214" s="43"/>
      <c r="Y214" s="43"/>
      <c r="Z214" s="43"/>
    </row>
    <row r="215">
      <c r="D215" s="4" t="s">
        <v>24</v>
      </c>
      <c r="W215" s="43"/>
      <c r="X215" s="43"/>
      <c r="Y215" s="43"/>
      <c r="Z215" s="43"/>
    </row>
    <row r="216">
      <c r="C216" s="16"/>
      <c r="D216" s="4" t="s">
        <v>24</v>
      </c>
      <c r="E216" s="16"/>
      <c r="F216" s="16"/>
      <c r="G216" s="16"/>
      <c r="W216" s="43"/>
      <c r="X216" s="43"/>
      <c r="Y216" s="43"/>
      <c r="Z216" s="43"/>
    </row>
    <row r="217">
      <c r="B217" s="23" t="s">
        <v>44</v>
      </c>
      <c r="C217" s="12" t="str">
        <f t="array" ref="C217:E219">MMULT(O217:T219 ,MMULT(I217:K222,C212:E214))+C207:E209</f>
        <v>#VALUE!</v>
      </c>
      <c r="D217" s="13" t="e">
        <v>#VALUE!</v>
      </c>
      <c r="E217" s="14" t="e">
        <v>#VALUE!</v>
      </c>
      <c r="F217" s="16"/>
      <c r="G217" s="16"/>
      <c r="H217" s="23" t="s">
        <v>26</v>
      </c>
      <c r="I217" s="39">
        <f t="shared" ref="I217:K217" si="91">NORMINV(rand(),0, sqrt(2/5))</f>
        <v>0.6042042329</v>
      </c>
      <c r="J217" s="40">
        <f t="shared" si="91"/>
        <v>0.5318749484</v>
      </c>
      <c r="K217" s="41">
        <f t="shared" si="91"/>
        <v>0.7984919652</v>
      </c>
      <c r="N217" s="23" t="s">
        <v>30</v>
      </c>
      <c r="O217" s="39">
        <f t="shared" ref="O217:T217" si="92">NORMINV(rand(),0, sqrt(2/5))</f>
        <v>-0.2678449433</v>
      </c>
      <c r="P217" s="40">
        <f t="shared" si="92"/>
        <v>-0.8220388607</v>
      </c>
      <c r="Q217" s="40">
        <f t="shared" si="92"/>
        <v>-0.3874427454</v>
      </c>
      <c r="R217" s="40">
        <f t="shared" si="92"/>
        <v>0.6802136633</v>
      </c>
      <c r="S217" s="40">
        <f t="shared" si="92"/>
        <v>-0.838290995</v>
      </c>
      <c r="T217" s="41">
        <f t="shared" si="92"/>
        <v>-0.3894900971</v>
      </c>
      <c r="U217" s="43"/>
      <c r="V217" s="43"/>
      <c r="W217" s="43"/>
      <c r="X217" s="43"/>
      <c r="Y217" s="43"/>
      <c r="Z217" s="43"/>
    </row>
    <row r="218">
      <c r="B218" s="23" t="s">
        <v>45</v>
      </c>
      <c r="C218" s="17" t="e">
        <v>#VALUE!</v>
      </c>
      <c r="D218" s="16" t="e">
        <v>#VALUE!</v>
      </c>
      <c r="E218" s="18" t="e">
        <v>#VALUE!</v>
      </c>
      <c r="F218" s="16"/>
      <c r="G218" s="16"/>
      <c r="H218" s="23" t="s">
        <v>27</v>
      </c>
      <c r="I218" s="42">
        <f t="shared" ref="I218:K218" si="93">NORMINV(rand(),0, sqrt(2/5))</f>
        <v>0.2368643454</v>
      </c>
      <c r="J218" s="43">
        <f t="shared" si="93"/>
        <v>0.0661330714</v>
      </c>
      <c r="K218" s="44">
        <f t="shared" si="93"/>
        <v>0.08609688776</v>
      </c>
      <c r="N218" s="23" t="s">
        <v>32</v>
      </c>
      <c r="O218" s="42">
        <f t="shared" ref="O218:T218" si="94">NORMINV(rand(),0, sqrt(2/5))</f>
        <v>-0.6597329344</v>
      </c>
      <c r="P218" s="43">
        <f t="shared" si="94"/>
        <v>0.345839254</v>
      </c>
      <c r="Q218" s="43">
        <f t="shared" si="94"/>
        <v>1.196039797</v>
      </c>
      <c r="R218" s="43">
        <f t="shared" si="94"/>
        <v>1.453076789</v>
      </c>
      <c r="S218" s="43">
        <f t="shared" si="94"/>
        <v>0.2610194986</v>
      </c>
      <c r="T218" s="44">
        <f t="shared" si="94"/>
        <v>-0.6394306474</v>
      </c>
      <c r="U218" s="43"/>
      <c r="V218" s="43"/>
      <c r="W218" s="43"/>
      <c r="X218" s="43"/>
      <c r="Y218" s="43"/>
      <c r="Z218" s="43"/>
    </row>
    <row r="219">
      <c r="B219" s="165" t="s">
        <v>38</v>
      </c>
      <c r="C219" s="19" t="e">
        <v>#VALUE!</v>
      </c>
      <c r="D219" s="20" t="e">
        <v>#VALUE!</v>
      </c>
      <c r="E219" s="21" t="e">
        <v>#VALUE!</v>
      </c>
      <c r="F219" s="16"/>
      <c r="G219" s="16"/>
      <c r="H219" s="1"/>
      <c r="I219" s="42">
        <f t="shared" ref="I219:K219" si="95">NORMINV(rand(),0, sqrt(2/5))</f>
        <v>0.2018869696</v>
      </c>
      <c r="J219" s="43">
        <f t="shared" si="95"/>
        <v>-0.5759061173</v>
      </c>
      <c r="K219" s="44">
        <f t="shared" si="95"/>
        <v>1.07780168</v>
      </c>
      <c r="N219" s="1"/>
      <c r="O219" s="45">
        <f t="shared" ref="O219:T219" si="96">NORMINV(rand(),0, sqrt(2/5))</f>
        <v>0.1765058289</v>
      </c>
      <c r="P219" s="46">
        <f t="shared" si="96"/>
        <v>-1.23530977</v>
      </c>
      <c r="Q219" s="46">
        <f t="shared" si="96"/>
        <v>-0.4098896559</v>
      </c>
      <c r="R219" s="46">
        <f t="shared" si="96"/>
        <v>-0.2747007065</v>
      </c>
      <c r="S219" s="46">
        <f t="shared" si="96"/>
        <v>0.5146090933</v>
      </c>
      <c r="T219" s="47">
        <f t="shared" si="96"/>
        <v>-0.3247319659</v>
      </c>
      <c r="U219" s="2"/>
      <c r="V219" s="2"/>
      <c r="W219" s="2"/>
      <c r="X219" s="2"/>
      <c r="Y219" s="2"/>
      <c r="Z219" s="2"/>
    </row>
    <row r="220">
      <c r="F220" s="16"/>
      <c r="G220" s="16"/>
      <c r="H220" s="1"/>
      <c r="I220" s="42">
        <f t="shared" ref="I220:K220" si="97">NORMINV(rand(),0, sqrt(2/5))</f>
        <v>0.6617583716</v>
      </c>
      <c r="J220" s="43">
        <f t="shared" si="97"/>
        <v>-0.2386981857</v>
      </c>
      <c r="K220" s="44">
        <f t="shared" si="97"/>
        <v>0.1740777221</v>
      </c>
      <c r="M220" s="43"/>
      <c r="N220" s="43"/>
      <c r="O220" s="2"/>
      <c r="P220" s="162"/>
      <c r="Q220" s="43"/>
      <c r="R220" s="43"/>
      <c r="S220" s="43"/>
      <c r="T220" s="43"/>
      <c r="U220" s="43"/>
      <c r="V220" s="43"/>
      <c r="W220" s="43"/>
      <c r="X220" s="2"/>
      <c r="Y220" s="2"/>
      <c r="Z220" s="2"/>
    </row>
    <row r="221">
      <c r="F221" s="16"/>
      <c r="G221" s="16"/>
      <c r="H221" s="1"/>
      <c r="I221" s="42">
        <f t="shared" ref="I221:K221" si="98">NORMINV(rand(),0, sqrt(2/5))</f>
        <v>0.09899101115</v>
      </c>
      <c r="J221" s="43">
        <f t="shared" si="98"/>
        <v>0.1601769372</v>
      </c>
      <c r="K221" s="44">
        <f t="shared" si="98"/>
        <v>-0.05725786395</v>
      </c>
      <c r="M221" s="43"/>
      <c r="N221" s="43"/>
      <c r="O221" s="2"/>
      <c r="P221" s="1"/>
      <c r="Q221" s="43"/>
      <c r="R221" s="43"/>
      <c r="S221" s="43"/>
      <c r="T221" s="43"/>
      <c r="U221" s="43"/>
      <c r="V221" s="43"/>
      <c r="W221" s="43"/>
      <c r="X221" s="2"/>
      <c r="Y221" s="2"/>
      <c r="Z221" s="2"/>
    </row>
    <row r="222">
      <c r="F222" s="16"/>
      <c r="G222" s="16"/>
      <c r="H222" s="162"/>
      <c r="I222" s="45">
        <f t="shared" ref="I222:K222" si="99">NORMINV(rand(),0, sqrt(2/5))</f>
        <v>0.7752021288</v>
      </c>
      <c r="J222" s="46">
        <f t="shared" si="99"/>
        <v>0.4128409734</v>
      </c>
      <c r="K222" s="47">
        <f t="shared" si="99"/>
        <v>-1.309489233</v>
      </c>
      <c r="M222" s="43"/>
      <c r="N222" s="43"/>
      <c r="O222" s="2"/>
      <c r="P222" s="2"/>
      <c r="Q222" s="2"/>
      <c r="R222" s="2"/>
      <c r="S222" s="2"/>
      <c r="T222" s="2"/>
      <c r="U222" s="43"/>
      <c r="V222" s="43"/>
      <c r="W222" s="43"/>
      <c r="X222" s="2"/>
      <c r="Y222" s="2"/>
      <c r="Z222" s="2"/>
    </row>
    <row r="223">
      <c r="F223" s="16"/>
      <c r="G223" s="16"/>
      <c r="H223" s="1"/>
      <c r="I223" s="43"/>
      <c r="J223" s="43"/>
      <c r="K223" s="43"/>
      <c r="M223" s="43"/>
      <c r="N223" s="43"/>
      <c r="O223" s="2"/>
      <c r="P223" s="1"/>
      <c r="Q223" s="43"/>
      <c r="R223" s="43"/>
      <c r="S223" s="43"/>
      <c r="T223" s="43"/>
      <c r="U223" s="43"/>
      <c r="V223" s="43"/>
      <c r="W223" s="43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B1070" s="1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B1071" s="1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B1072" s="1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B1073" s="1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B1074" s="1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B1075" s="1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B1076" s="1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B1077" s="1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B1078" s="1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B1079" s="1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B1080" s="1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B1081" s="1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B1082" s="1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B1083" s="1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B1084" s="1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B1085" s="1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B1086" s="1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B1087" s="1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B1088" s="1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B1089" s="1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B1090" s="1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B1091" s="1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B1092" s="1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B1093" s="1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B1094" s="1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B1095" s="1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B1096" s="1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B1097" s="1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B1098" s="1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B1099" s="1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B1100" s="1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B1101" s="1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B1102" s="1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B1103" s="1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B1104" s="1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B1105" s="1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B1106" s="1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B1107" s="1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B1108" s="1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B1109" s="1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B1110" s="1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B1111" s="1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B1112" s="1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B1113" s="1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B1114" s="1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B1115" s="1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B1116" s="1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B1117" s="1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B1118" s="1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B1119" s="1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B1120" s="1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B1121" s="1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B1122" s="1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B1123" s="1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B1124" s="1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B1125" s="1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B1126" s="1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B1127" s="1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B1128" s="1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B1129" s="1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B1130" s="1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B1131" s="1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B1132" s="1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B1133" s="1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B1134" s="1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B1135" s="1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B1136" s="1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B1137" s="1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B1138" s="1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B1139" s="1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B1140" s="1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B1141" s="1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B1142" s="1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B1143" s="1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B1144" s="1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B1145" s="1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B1146" s="1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B1147" s="1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B1148" s="1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</sheetData>
  <mergeCells count="20">
    <mergeCell ref="A2:Z2"/>
    <mergeCell ref="G9:J9"/>
    <mergeCell ref="A18:D18"/>
    <mergeCell ref="G18:H18"/>
    <mergeCell ref="A27:D28"/>
    <mergeCell ref="A37:Z37"/>
    <mergeCell ref="H51:K52"/>
    <mergeCell ref="B99:E100"/>
    <mergeCell ref="A108:Z108"/>
    <mergeCell ref="A125:Z125"/>
    <mergeCell ref="A171:Z171"/>
    <mergeCell ref="A186:Z186"/>
    <mergeCell ref="A205:Z205"/>
    <mergeCell ref="A55:D55"/>
    <mergeCell ref="G55:H55"/>
    <mergeCell ref="A64:D65"/>
    <mergeCell ref="A74:Z74"/>
    <mergeCell ref="G81:J81"/>
    <mergeCell ref="B90:E90"/>
    <mergeCell ref="H90:I90"/>
  </mergeCells>
  <conditionalFormatting sqref="C127:G131 N133:N170 O133:S162 T133:W158 J134:M143 J157:M170 J172:N185 C174:G179 I174:I185 O174:T185 U174:Z178 U180:W185 X185:Z185 I187:T204 U187:Z194 C188:G195 U196:W204 D198:D203 C199:C203 E199:G203 X199:Z203 I206:T223 U206:Z218 C207:G219 U220:W22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4:G143 C177:G185 C187:G187 C189:G204 C206:G206 C208:G22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58:G162 D177:D178 C189:G192 C195:G204 C208:G216 C219:G22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65:G16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:G15 D81:H82 C110:G114">
    <cfRule type="colorScale" priority="5">
      <colorScale>
        <cfvo type="min"/>
        <cfvo type="max"/>
        <color rgb="FFFFFFFF"/>
        <color rgb="FF57BB8A"/>
      </colorScale>
    </cfRule>
  </conditionalFormatting>
  <conditionalFormatting sqref="C30:G34 D102:H106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0:G2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57:G61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7:G71">
    <cfRule type="colorScale" priority="9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D92:H96">
    <cfRule type="colorScale" priority="10">
      <colorScale>
        <cfvo type="min"/>
        <cfvo type="max"/>
        <color rgb="FFFFFFFF"/>
        <color rgb="FF57BB8A"/>
      </colorScale>
    </cfRule>
  </conditionalFormatting>
  <conditionalFormatting sqref="C117:G121">
    <cfRule type="colorScale" priority="11">
      <colorScale>
        <cfvo type="min"/>
        <cfvo type="max"/>
        <color rgb="FFFFFFFF"/>
        <color rgb="FF57BB8A"/>
      </colorScale>
    </cfRule>
  </conditionalFormatting>
  <conditionalFormatting sqref="I117:M121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46:G155">
    <cfRule type="colorScale" priority="13">
      <colorScale>
        <cfvo type="min"/>
        <cfvo type="max"/>
        <color rgb="FFFFFFFF"/>
        <color rgb="FF57BB8A"/>
      </colorScale>
    </cfRule>
  </conditionalFormatting>
  <conditionalFormatting sqref="O117:S121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88"/>
    <col customWidth="1" min="3" max="3" width="6.0"/>
    <col customWidth="1" min="4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5"/>
      <c r="T3" s="6"/>
      <c r="U3" s="2"/>
      <c r="V3" s="2"/>
      <c r="W3" s="2"/>
      <c r="X3" s="2"/>
      <c r="Y3" s="2"/>
      <c r="Z3" s="2"/>
    </row>
    <row r="4">
      <c r="B4" s="1"/>
      <c r="C4" s="2"/>
      <c r="D4" s="2"/>
      <c r="E4" s="2"/>
      <c r="F4" s="2"/>
      <c r="K4" s="2"/>
      <c r="L4" s="2"/>
      <c r="M4" s="2"/>
      <c r="N4" s="2"/>
      <c r="O4" s="2"/>
      <c r="P4" s="2"/>
      <c r="Q4" s="2"/>
      <c r="R4" s="2"/>
      <c r="S4" s="5"/>
      <c r="T4" s="6"/>
      <c r="U4" s="2"/>
      <c r="V4" s="2"/>
      <c r="W4" s="2"/>
      <c r="X4" s="2"/>
      <c r="Y4" s="2"/>
      <c r="Z4" s="2"/>
    </row>
    <row r="5">
      <c r="K5" s="2"/>
      <c r="L5" s="2"/>
      <c r="M5" s="2"/>
      <c r="N5" s="2"/>
      <c r="O5" s="2"/>
      <c r="P5" s="2"/>
      <c r="Q5" s="2"/>
      <c r="R5" s="2"/>
      <c r="S5" s="5"/>
      <c r="T5" s="6"/>
      <c r="U5" s="2"/>
      <c r="V5" s="2"/>
      <c r="W5" s="2"/>
      <c r="X5" s="2"/>
      <c r="Y5" s="2"/>
      <c r="Z5" s="2"/>
    </row>
    <row r="6">
      <c r="K6" s="2"/>
      <c r="L6" s="2"/>
      <c r="M6" s="2"/>
      <c r="N6" s="2"/>
      <c r="O6" s="2"/>
      <c r="P6" s="2"/>
      <c r="Q6" s="2"/>
      <c r="R6" s="2"/>
      <c r="S6" s="5"/>
      <c r="T6" s="6"/>
      <c r="U6" s="2"/>
      <c r="V6" s="2"/>
      <c r="W6" s="2"/>
      <c r="X6" s="2"/>
      <c r="Y6" s="2"/>
      <c r="Z6" s="2"/>
    </row>
    <row r="7">
      <c r="K7" s="2"/>
      <c r="L7" s="2"/>
      <c r="M7" s="2"/>
      <c r="N7" s="2"/>
      <c r="O7" s="2"/>
      <c r="P7" s="2"/>
      <c r="Q7" s="2"/>
      <c r="R7" s="2"/>
      <c r="S7" s="5"/>
      <c r="T7" s="6"/>
      <c r="U7" s="2"/>
      <c r="V7" s="2"/>
      <c r="W7" s="2"/>
      <c r="X7" s="2"/>
      <c r="Y7" s="2"/>
      <c r="Z7" s="2"/>
    </row>
    <row r="8">
      <c r="K8" s="2"/>
      <c r="L8" s="2"/>
      <c r="M8" s="2"/>
      <c r="N8" s="2"/>
      <c r="O8" s="2"/>
      <c r="P8" s="2"/>
      <c r="Q8" s="2"/>
      <c r="R8" s="2"/>
      <c r="S8" s="5"/>
      <c r="T8" s="6"/>
      <c r="U8" s="2"/>
      <c r="V8" s="2"/>
      <c r="W8" s="2"/>
      <c r="X8" s="2"/>
      <c r="Y8" s="2"/>
      <c r="Z8" s="2"/>
    </row>
    <row r="9">
      <c r="B9" s="1"/>
      <c r="C9" s="2"/>
      <c r="D9" s="2"/>
      <c r="E9" s="2"/>
      <c r="F9" s="2"/>
      <c r="G9" s="7" t="s">
        <v>1</v>
      </c>
      <c r="H9" s="8"/>
      <c r="I9" s="8"/>
      <c r="J9" s="8"/>
      <c r="K9" s="2"/>
      <c r="L9" s="2"/>
      <c r="M9" s="2"/>
      <c r="N9" s="2"/>
      <c r="O9" s="2"/>
      <c r="P9" s="2"/>
      <c r="Q9" s="2"/>
      <c r="R9" s="2"/>
      <c r="S9" s="5"/>
      <c r="T9" s="6"/>
      <c r="U9" s="2"/>
      <c r="V9" s="2"/>
      <c r="W9" s="2"/>
      <c r="X9" s="2"/>
      <c r="Y9" s="2"/>
      <c r="Z9" s="2"/>
    </row>
    <row r="10">
      <c r="B10" s="1"/>
      <c r="C10" s="2"/>
      <c r="D10" s="2"/>
      <c r="E10" s="2"/>
      <c r="F10" s="2"/>
      <c r="G10" s="2"/>
      <c r="H10" s="9" t="s">
        <v>2</v>
      </c>
      <c r="I10" s="10" t="s">
        <v>3</v>
      </c>
      <c r="J10" s="2"/>
      <c r="K10" s="2"/>
      <c r="L10" s="2"/>
      <c r="M10" s="2"/>
      <c r="N10" s="2"/>
      <c r="O10" s="2"/>
      <c r="P10" s="2"/>
      <c r="Q10" s="2"/>
      <c r="R10" s="2"/>
      <c r="S10" s="5"/>
      <c r="T10" s="6"/>
      <c r="U10" s="2"/>
      <c r="V10" s="2"/>
      <c r="W10" s="2"/>
      <c r="X10" s="2"/>
      <c r="Y10" s="2"/>
      <c r="Z10" s="2"/>
    </row>
    <row r="11">
      <c r="B11" s="11" t="s">
        <v>4</v>
      </c>
      <c r="C11" s="12">
        <f t="shared" ref="C11:G11" si="1">Rand()</f>
        <v>0.06641296087</v>
      </c>
      <c r="D11" s="13">
        <f t="shared" si="1"/>
        <v>0.5874159822</v>
      </c>
      <c r="E11" s="13">
        <f t="shared" si="1"/>
        <v>0.495384564</v>
      </c>
      <c r="F11" s="13">
        <f t="shared" si="1"/>
        <v>0.4057271153</v>
      </c>
      <c r="G11" s="14">
        <f t="shared" si="1"/>
        <v>0.2313037412</v>
      </c>
      <c r="H11" s="16">
        <f t="shared" ref="H11:H15" si="3">AVERAGE(C11:G11)</f>
        <v>0.3572488727</v>
      </c>
      <c r="I11" s="16">
        <f t="shared" ref="I11:I15" si="4">VAR(C11:G11)</f>
        <v>0.04371405281</v>
      </c>
      <c r="J11" s="2"/>
      <c r="K11" s="2"/>
      <c r="L11" s="2"/>
      <c r="M11" s="2"/>
      <c r="N11" s="2"/>
      <c r="O11" s="2"/>
      <c r="P11" s="2"/>
      <c r="Q11" s="2"/>
      <c r="R11" s="2"/>
      <c r="S11" s="5"/>
      <c r="T11" s="6"/>
      <c r="U11" s="2"/>
      <c r="V11" s="2"/>
      <c r="W11" s="2"/>
      <c r="X11" s="2"/>
      <c r="Y11" s="2"/>
      <c r="Z11" s="2"/>
    </row>
    <row r="12">
      <c r="B12" s="1"/>
      <c r="C12" s="17">
        <f t="shared" ref="C12:G12" si="2">Rand()</f>
        <v>0.7328094271</v>
      </c>
      <c r="D12" s="16">
        <f t="shared" si="2"/>
        <v>0.4090604053</v>
      </c>
      <c r="E12" s="16">
        <f t="shared" si="2"/>
        <v>0.190714073</v>
      </c>
      <c r="F12" s="16">
        <f t="shared" si="2"/>
        <v>0.5607497488</v>
      </c>
      <c r="G12" s="18">
        <f t="shared" si="2"/>
        <v>0.4403213473</v>
      </c>
      <c r="H12" s="16">
        <f t="shared" si="3"/>
        <v>0.4667310003</v>
      </c>
      <c r="I12" s="16">
        <f t="shared" si="4"/>
        <v>0.03996149144</v>
      </c>
      <c r="J12" s="2"/>
      <c r="K12" s="2"/>
      <c r="L12" s="2"/>
      <c r="M12" s="2"/>
      <c r="N12" s="2"/>
      <c r="O12" s="2"/>
      <c r="P12" s="2"/>
      <c r="Q12" s="2"/>
      <c r="R12" s="2"/>
      <c r="S12" s="5"/>
      <c r="T12" s="6"/>
      <c r="U12" s="2"/>
      <c r="V12" s="2"/>
      <c r="W12" s="2"/>
      <c r="X12" s="2"/>
      <c r="Y12" s="2"/>
      <c r="Z12" s="2"/>
    </row>
    <row r="13">
      <c r="B13" s="1"/>
      <c r="C13" s="17">
        <f t="shared" ref="C13:G13" si="5">Rand()</f>
        <v>0.03910610767</v>
      </c>
      <c r="D13" s="16">
        <f t="shared" si="5"/>
        <v>0.1138203329</v>
      </c>
      <c r="E13" s="16">
        <f t="shared" si="5"/>
        <v>0.8738207325</v>
      </c>
      <c r="F13" s="16">
        <f t="shared" si="5"/>
        <v>0.4503298136</v>
      </c>
      <c r="G13" s="18">
        <f t="shared" si="5"/>
        <v>0.7861811727</v>
      </c>
      <c r="H13" s="16">
        <f t="shared" si="3"/>
        <v>0.4526516319</v>
      </c>
      <c r="I13" s="16">
        <f t="shared" si="4"/>
        <v>0.1436143266</v>
      </c>
      <c r="J13" s="2"/>
      <c r="K13" s="2"/>
      <c r="L13" s="2"/>
      <c r="M13" s="2"/>
      <c r="N13" s="2"/>
      <c r="O13" s="2"/>
      <c r="P13" s="2"/>
      <c r="Q13" s="2"/>
      <c r="R13" s="2"/>
      <c r="S13" s="5"/>
      <c r="T13" s="6"/>
      <c r="U13" s="2"/>
      <c r="V13" s="2"/>
      <c r="W13" s="2"/>
      <c r="X13" s="2"/>
      <c r="Y13" s="2"/>
      <c r="Z13" s="2"/>
    </row>
    <row r="14">
      <c r="B14" s="1"/>
      <c r="C14" s="17">
        <f t="shared" ref="C14:G14" si="6">Rand()</f>
        <v>0.6735487691</v>
      </c>
      <c r="D14" s="16">
        <f t="shared" si="6"/>
        <v>0.9603516821</v>
      </c>
      <c r="E14" s="16">
        <f t="shared" si="6"/>
        <v>0.4894358107</v>
      </c>
      <c r="F14" s="16">
        <f t="shared" si="6"/>
        <v>0.8077196922</v>
      </c>
      <c r="G14" s="18">
        <f t="shared" si="6"/>
        <v>0.8712993235</v>
      </c>
      <c r="H14" s="16">
        <f t="shared" si="3"/>
        <v>0.7604710555</v>
      </c>
      <c r="I14" s="16">
        <f t="shared" si="4"/>
        <v>0.03387079784</v>
      </c>
      <c r="J14" s="2"/>
      <c r="K14" s="2"/>
      <c r="L14" s="2"/>
      <c r="M14" s="2"/>
      <c r="N14" s="2"/>
      <c r="O14" s="2"/>
      <c r="P14" s="2"/>
      <c r="Q14" s="2"/>
      <c r="R14" s="2"/>
      <c r="S14" s="5"/>
      <c r="T14" s="6"/>
      <c r="U14" s="2"/>
      <c r="V14" s="2"/>
      <c r="W14" s="2"/>
      <c r="X14" s="2"/>
      <c r="Y14" s="2"/>
      <c r="Z14" s="2"/>
    </row>
    <row r="15">
      <c r="B15" s="1"/>
      <c r="C15" s="19">
        <f t="shared" ref="C15:G15" si="7">Rand()</f>
        <v>0.4184687335</v>
      </c>
      <c r="D15" s="20">
        <f t="shared" si="7"/>
        <v>0.7360331678</v>
      </c>
      <c r="E15" s="20">
        <f t="shared" si="7"/>
        <v>0.05104860538</v>
      </c>
      <c r="F15" s="20">
        <f t="shared" si="7"/>
        <v>0.6425731211</v>
      </c>
      <c r="G15" s="21">
        <f t="shared" si="7"/>
        <v>0.3131646702</v>
      </c>
      <c r="H15" s="16">
        <f t="shared" si="3"/>
        <v>0.4322576596</v>
      </c>
      <c r="I15" s="16">
        <f t="shared" si="4"/>
        <v>0.07405144258</v>
      </c>
      <c r="J15" s="2"/>
      <c r="K15" s="2"/>
      <c r="L15" s="2"/>
      <c r="M15" s="2"/>
      <c r="N15" s="2"/>
      <c r="O15" s="2"/>
      <c r="P15" s="2"/>
      <c r="Q15" s="2"/>
      <c r="R15" s="2"/>
      <c r="S15" s="5"/>
      <c r="T15" s="6"/>
      <c r="U15" s="2"/>
      <c r="V15" s="2"/>
      <c r="W15" s="2"/>
      <c r="X15" s="2"/>
      <c r="Y15" s="2"/>
      <c r="Z15" s="2"/>
    </row>
    <row r="16">
      <c r="I16" s="2"/>
      <c r="J16" s="2"/>
      <c r="K16" s="2"/>
      <c r="L16" s="2"/>
      <c r="M16" s="2"/>
      <c r="N16" s="2"/>
      <c r="O16" s="2"/>
      <c r="P16" s="2"/>
      <c r="Q16" s="2"/>
      <c r="R16" s="2"/>
      <c r="S16" s="5"/>
      <c r="T16" s="6"/>
      <c r="U16" s="2"/>
      <c r="V16" s="2"/>
      <c r="W16" s="2"/>
      <c r="X16" s="2"/>
      <c r="Y16" s="2"/>
      <c r="Z16" s="2"/>
    </row>
    <row r="17">
      <c r="I17" s="2"/>
      <c r="J17" s="2"/>
      <c r="K17" s="2"/>
      <c r="L17" s="2"/>
      <c r="M17" s="2"/>
      <c r="N17" s="2"/>
      <c r="O17" s="2"/>
      <c r="P17" s="2"/>
      <c r="Q17" s="2"/>
      <c r="R17" s="2"/>
      <c r="S17" s="5"/>
      <c r="T17" s="6"/>
      <c r="U17" s="2"/>
      <c r="V17" s="2"/>
      <c r="W17" s="2"/>
      <c r="X17" s="2"/>
      <c r="Y17" s="2"/>
      <c r="Z17" s="2"/>
    </row>
    <row r="18">
      <c r="A18" s="22" t="s">
        <v>5</v>
      </c>
      <c r="F18" s="23" t="s">
        <v>6</v>
      </c>
      <c r="G18" s="24">
        <f>1E-16</f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5"/>
      <c r="T18" s="6"/>
      <c r="U18" s="2"/>
      <c r="V18" s="2"/>
      <c r="W18" s="2"/>
      <c r="X18" s="2"/>
      <c r="Y18" s="2"/>
      <c r="Z18" s="2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6"/>
      <c r="T19" s="27"/>
      <c r="U19" s="25"/>
      <c r="V19" s="25"/>
      <c r="W19" s="25"/>
      <c r="X19" s="25"/>
      <c r="Y19" s="25"/>
      <c r="Z19" s="25"/>
    </row>
    <row r="20">
      <c r="A20" s="25"/>
      <c r="B20" s="11" t="s">
        <v>7</v>
      </c>
      <c r="C20" s="28">
        <f t="shared" ref="C20:G20" si="8">((C11-$H11)/SQRT($I11+$G$18))</f>
        <v>-1.391033199</v>
      </c>
      <c r="D20" s="29">
        <f t="shared" si="8"/>
        <v>1.100861611</v>
      </c>
      <c r="E20" s="29">
        <f t="shared" si="8"/>
        <v>0.660686403</v>
      </c>
      <c r="F20" s="29">
        <f t="shared" si="8"/>
        <v>0.2318656057</v>
      </c>
      <c r="G20" s="30">
        <f t="shared" si="8"/>
        <v>-0.6023804212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6"/>
      <c r="T20" s="27"/>
      <c r="U20" s="25"/>
      <c r="V20" s="25"/>
      <c r="W20" s="25"/>
      <c r="X20" s="25"/>
      <c r="Y20" s="25"/>
      <c r="Z20" s="25"/>
    </row>
    <row r="21">
      <c r="A21" s="25"/>
      <c r="B21" s="11" t="s">
        <v>8</v>
      </c>
      <c r="C21" s="31">
        <f t="shared" ref="C21:G21" si="9">((C12-$H12)/SQRT($I12+$G$18))</f>
        <v>1.331032991</v>
      </c>
      <c r="D21" s="32">
        <f t="shared" si="9"/>
        <v>-0.2884918763</v>
      </c>
      <c r="E21" s="32">
        <f t="shared" si="9"/>
        <v>-1.38074943</v>
      </c>
      <c r="F21" s="32">
        <f t="shared" si="9"/>
        <v>0.470320189</v>
      </c>
      <c r="G21" s="33">
        <f t="shared" si="9"/>
        <v>-0.1321118733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6"/>
      <c r="T21" s="27"/>
      <c r="U21" s="25"/>
      <c r="V21" s="25"/>
      <c r="W21" s="25"/>
      <c r="X21" s="25"/>
      <c r="Y21" s="25"/>
      <c r="Z21" s="25"/>
    </row>
    <row r="22">
      <c r="A22" s="25"/>
      <c r="B22" s="25"/>
      <c r="C22" s="31">
        <f t="shared" ref="C22:G22" si="10">((C13-$H13)/SQRT($I13+$G$18))</f>
        <v>-1.091250465</v>
      </c>
      <c r="D22" s="32">
        <f t="shared" si="10"/>
        <v>-0.8940969998</v>
      </c>
      <c r="E22" s="32">
        <f t="shared" si="10"/>
        <v>1.11136731</v>
      </c>
      <c r="F22" s="32">
        <f t="shared" si="10"/>
        <v>-0.006126738454</v>
      </c>
      <c r="G22" s="33">
        <f t="shared" si="10"/>
        <v>0.880106893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6"/>
      <c r="T22" s="27"/>
      <c r="U22" s="25"/>
      <c r="V22" s="25"/>
      <c r="W22" s="25"/>
      <c r="X22" s="25"/>
      <c r="Y22" s="25"/>
      <c r="Z22" s="25"/>
    </row>
    <row r="23">
      <c r="A23" s="25"/>
      <c r="B23" s="25"/>
      <c r="C23" s="31">
        <f t="shared" ref="C23:G23" si="11">((C14-$H14)/SQRT($I14+$G$18))</f>
        <v>-0.4723005248</v>
      </c>
      <c r="D23" s="32">
        <f t="shared" si="11"/>
        <v>1.086070428</v>
      </c>
      <c r="E23" s="32">
        <f t="shared" si="11"/>
        <v>-1.472695826</v>
      </c>
      <c r="F23" s="32">
        <f t="shared" si="11"/>
        <v>0.256729969</v>
      </c>
      <c r="G23" s="33">
        <f t="shared" si="11"/>
        <v>0.6021959535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6"/>
      <c r="T23" s="27"/>
      <c r="U23" s="25"/>
      <c r="V23" s="25"/>
      <c r="W23" s="25"/>
      <c r="X23" s="25"/>
      <c r="Y23" s="25"/>
      <c r="Z23" s="25"/>
    </row>
    <row r="24">
      <c r="A24" s="25"/>
      <c r="B24" s="25"/>
      <c r="C24" s="34">
        <f t="shared" ref="C24:G24" si="12">((C15-$H15)/SQRT($I15+$G$18))</f>
        <v>-0.05067149097</v>
      </c>
      <c r="D24" s="35">
        <f t="shared" si="12"/>
        <v>1.116313031</v>
      </c>
      <c r="E24" s="35">
        <f t="shared" si="12"/>
        <v>-1.400865518</v>
      </c>
      <c r="F24" s="35">
        <f t="shared" si="12"/>
        <v>0.7728664225</v>
      </c>
      <c r="G24" s="36">
        <f t="shared" si="12"/>
        <v>-0.4376424443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r="T24" s="27"/>
      <c r="U24" s="25"/>
      <c r="V24" s="25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5"/>
      <c r="T25" s="6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5"/>
      <c r="T26" s="6"/>
      <c r="U26" s="2"/>
      <c r="V26" s="2"/>
      <c r="W26" s="2"/>
      <c r="X26" s="2"/>
      <c r="Y26" s="2"/>
      <c r="Z26" s="2"/>
    </row>
    <row r="27">
      <c r="A27" s="37" t="s">
        <v>9</v>
      </c>
      <c r="E27" s="2"/>
      <c r="F27" s="23" t="s">
        <v>10</v>
      </c>
      <c r="G27" s="38">
        <v>0.5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5"/>
      <c r="T27" s="6"/>
      <c r="U27" s="2"/>
      <c r="V27" s="2"/>
      <c r="W27" s="2"/>
      <c r="X27" s="2"/>
      <c r="Y27" s="2"/>
      <c r="Z27" s="2"/>
    </row>
    <row r="28">
      <c r="E28" s="2"/>
      <c r="F28" s="23" t="s">
        <v>11</v>
      </c>
      <c r="G28" s="38">
        <v>0.1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5"/>
      <c r="T28" s="6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5"/>
      <c r="T29" s="6"/>
      <c r="U29" s="2"/>
      <c r="V29" s="2"/>
      <c r="W29" s="2"/>
      <c r="X29" s="2"/>
      <c r="Y29" s="2"/>
      <c r="Z29" s="2"/>
    </row>
    <row r="30">
      <c r="B30" s="23" t="s">
        <v>12</v>
      </c>
      <c r="C30" s="39">
        <f t="shared" ref="C30:G30" si="13">$G$27*C20+$G$28</f>
        <v>-0.5955165993</v>
      </c>
      <c r="D30" s="40">
        <f t="shared" si="13"/>
        <v>0.6504308055</v>
      </c>
      <c r="E30" s="40">
        <f t="shared" si="13"/>
        <v>0.4303432015</v>
      </c>
      <c r="F30" s="40">
        <f t="shared" si="13"/>
        <v>0.2159328029</v>
      </c>
      <c r="G30" s="41">
        <f t="shared" si="13"/>
        <v>-0.2011902106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5"/>
      <c r="T30" s="6"/>
      <c r="U30" s="2"/>
      <c r="V30" s="2"/>
      <c r="W30" s="2"/>
      <c r="Z30" s="2"/>
    </row>
    <row r="31">
      <c r="B31" s="1"/>
      <c r="C31" s="42">
        <f t="shared" ref="C31:G31" si="14">$G$27*C21+$G$28</f>
        <v>0.7655164953</v>
      </c>
      <c r="D31" s="43">
        <f t="shared" si="14"/>
        <v>-0.04424593817</v>
      </c>
      <c r="E31" s="43">
        <f t="shared" si="14"/>
        <v>-0.590374715</v>
      </c>
      <c r="F31" s="43">
        <f t="shared" si="14"/>
        <v>0.3351600945</v>
      </c>
      <c r="G31" s="44">
        <f t="shared" si="14"/>
        <v>0.03394406335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5"/>
      <c r="T31" s="6"/>
      <c r="U31" s="2"/>
      <c r="V31" s="2"/>
      <c r="W31" s="2"/>
      <c r="Z31" s="2"/>
    </row>
    <row r="32">
      <c r="B32" s="1"/>
      <c r="C32" s="42">
        <f t="shared" ref="C32:G32" si="15">$G$27*C22+$G$28</f>
        <v>-0.4456252324</v>
      </c>
      <c r="D32" s="43">
        <f t="shared" si="15"/>
        <v>-0.3470484999</v>
      </c>
      <c r="E32" s="43">
        <f t="shared" si="15"/>
        <v>0.6556836551</v>
      </c>
      <c r="F32" s="43">
        <f t="shared" si="15"/>
        <v>0.09693663077</v>
      </c>
      <c r="G32" s="44">
        <f t="shared" si="15"/>
        <v>0.5400534465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5"/>
      <c r="T32" s="6"/>
      <c r="U32" s="2"/>
      <c r="V32" s="2"/>
      <c r="W32" s="2"/>
      <c r="X32" s="2"/>
      <c r="Y32" s="2"/>
      <c r="Z32" s="2"/>
    </row>
    <row r="33">
      <c r="B33" s="1"/>
      <c r="C33" s="42">
        <f t="shared" ref="C33:G33" si="16">$G$27*C23+$G$28</f>
        <v>-0.1361502624</v>
      </c>
      <c r="D33" s="43">
        <f t="shared" si="16"/>
        <v>0.6430352141</v>
      </c>
      <c r="E33" s="43">
        <f t="shared" si="16"/>
        <v>-0.636347913</v>
      </c>
      <c r="F33" s="43">
        <f t="shared" si="16"/>
        <v>0.2283649845</v>
      </c>
      <c r="G33" s="44">
        <f t="shared" si="16"/>
        <v>0.4010979768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5"/>
      <c r="T33" s="6"/>
      <c r="U33" s="2"/>
      <c r="V33" s="2"/>
      <c r="W33" s="2"/>
      <c r="X33" s="2"/>
      <c r="Y33" s="2"/>
      <c r="Z33" s="2"/>
    </row>
    <row r="34">
      <c r="B34" s="1"/>
      <c r="C34" s="45">
        <f t="shared" ref="C34:G34" si="17">$G$27*C24+$G$28</f>
        <v>0.07466425451</v>
      </c>
      <c r="D34" s="46">
        <f t="shared" si="17"/>
        <v>0.6581565155</v>
      </c>
      <c r="E34" s="46">
        <f t="shared" si="17"/>
        <v>-0.6004327592</v>
      </c>
      <c r="F34" s="46">
        <f t="shared" si="17"/>
        <v>0.4864332113</v>
      </c>
      <c r="G34" s="47">
        <f t="shared" si="17"/>
        <v>-0.1188212222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5"/>
      <c r="T34" s="6"/>
      <c r="U34" s="2"/>
      <c r="V34" s="2"/>
      <c r="W34" s="2"/>
      <c r="X34" s="2"/>
      <c r="Y34" s="2"/>
      <c r="Z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"/>
      <c r="T35" s="6"/>
      <c r="U35" s="2"/>
      <c r="V35" s="2"/>
      <c r="W35" s="2"/>
      <c r="X35" s="2"/>
      <c r="Y35" s="2"/>
      <c r="Z35" s="2"/>
    </row>
    <row r="36"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5"/>
      <c r="T36" s="6"/>
      <c r="U36" s="2"/>
      <c r="V36" s="2"/>
      <c r="W36" s="2"/>
      <c r="X36" s="2"/>
      <c r="Y36" s="2"/>
      <c r="Z36" s="2"/>
    </row>
    <row r="37">
      <c r="A37" s="3" t="s">
        <v>13</v>
      </c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11" t="s">
        <v>4</v>
      </c>
      <c r="C46" s="48">
        <f t="shared" ref="C46:G46" si="18">Rand()</f>
        <v>0.5243105301</v>
      </c>
      <c r="D46" s="49">
        <f t="shared" si="18"/>
        <v>0.6029136504</v>
      </c>
      <c r="E46" s="50">
        <f t="shared" si="18"/>
        <v>0.7421481678</v>
      </c>
      <c r="F46" s="51">
        <f t="shared" si="18"/>
        <v>0.006161256371</v>
      </c>
      <c r="G46" s="52">
        <f t="shared" si="18"/>
        <v>0.7579657405</v>
      </c>
      <c r="H46" s="53"/>
      <c r="I46" s="53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54">
        <f t="shared" ref="C47:G47" si="19">Rand()</f>
        <v>0.2430630686</v>
      </c>
      <c r="D47" s="55">
        <f t="shared" si="19"/>
        <v>0.39628933</v>
      </c>
      <c r="E47" s="56">
        <f t="shared" si="19"/>
        <v>0.2954160724</v>
      </c>
      <c r="F47" s="57">
        <f t="shared" si="19"/>
        <v>0.6356535078</v>
      </c>
      <c r="G47" s="58">
        <f t="shared" si="19"/>
        <v>0.2502262477</v>
      </c>
      <c r="H47" s="53"/>
      <c r="I47" s="53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59">
        <f t="shared" ref="C48:G48" si="20">Rand()</f>
        <v>0.6226336773</v>
      </c>
      <c r="D48" s="60">
        <f t="shared" si="20"/>
        <v>0.9425360732</v>
      </c>
      <c r="E48" s="61">
        <f t="shared" si="20"/>
        <v>0.2837360622</v>
      </c>
      <c r="F48" s="62">
        <f t="shared" si="20"/>
        <v>0.6873779112</v>
      </c>
      <c r="G48" s="63">
        <f t="shared" si="20"/>
        <v>0.08850231174</v>
      </c>
      <c r="H48" s="53"/>
      <c r="I48" s="53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64">
        <f t="shared" ref="C49:G49" si="21">Rand()</f>
        <v>0.5244889685</v>
      </c>
      <c r="D49" s="65">
        <f t="shared" si="21"/>
        <v>0.1285395131</v>
      </c>
      <c r="E49" s="66">
        <f t="shared" si="21"/>
        <v>0.3640540458</v>
      </c>
      <c r="F49" s="67">
        <f t="shared" si="21"/>
        <v>0.4487373956</v>
      </c>
      <c r="G49" s="68">
        <f t="shared" si="21"/>
        <v>0.2106479324</v>
      </c>
      <c r="H49" s="53"/>
      <c r="I49" s="53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69">
        <f t="shared" ref="C50:G50" si="22">Rand()</f>
        <v>0.8795325698</v>
      </c>
      <c r="D50" s="70">
        <f t="shared" si="22"/>
        <v>0.7920244798</v>
      </c>
      <c r="E50" s="71">
        <f t="shared" si="22"/>
        <v>0.4846910514</v>
      </c>
      <c r="F50" s="72">
        <f t="shared" si="22"/>
        <v>0.2263347669</v>
      </c>
      <c r="G50" s="73">
        <f t="shared" si="22"/>
        <v>0.2993217438</v>
      </c>
      <c r="H50" s="53"/>
      <c r="I50" s="53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74" t="s">
        <v>2</v>
      </c>
      <c r="C51" s="53">
        <f t="shared" ref="C51:G51" si="23">AVERAGE(C46:C50)</f>
        <v>0.5588057629</v>
      </c>
      <c r="D51" s="53">
        <f t="shared" si="23"/>
        <v>0.5724606093</v>
      </c>
      <c r="E51" s="53">
        <f t="shared" si="23"/>
        <v>0.4340090799</v>
      </c>
      <c r="F51" s="53">
        <f t="shared" si="23"/>
        <v>0.4008529676</v>
      </c>
      <c r="G51" s="53">
        <f t="shared" si="23"/>
        <v>0.3213327952</v>
      </c>
      <c r="H51" s="75" t="s">
        <v>1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76" t="s">
        <v>3</v>
      </c>
      <c r="C52" s="53">
        <f t="shared" ref="C52:G52" si="24">Var(C46:C50)</f>
        <v>0.05225017494</v>
      </c>
      <c r="D52" s="53">
        <f t="shared" si="24"/>
        <v>0.1035484473</v>
      </c>
      <c r="E52" s="53">
        <f t="shared" si="24"/>
        <v>0.03605051703</v>
      </c>
      <c r="F52" s="53">
        <f t="shared" si="24"/>
        <v>0.08143972618</v>
      </c>
      <c r="G52" s="53">
        <f t="shared" si="24"/>
        <v>0.06566253233</v>
      </c>
      <c r="H52" s="77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78"/>
      <c r="B54" s="78"/>
      <c r="C54" s="78"/>
      <c r="D54" s="78"/>
      <c r="E54" s="25"/>
      <c r="F54" s="79"/>
      <c r="G54" s="80"/>
      <c r="H54" s="80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78" t="s">
        <v>5</v>
      </c>
      <c r="E55" s="25"/>
      <c r="F55" s="79" t="s">
        <v>6</v>
      </c>
      <c r="G55" s="80">
        <f>1E-16</f>
        <v>0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81"/>
      <c r="T56" s="82"/>
      <c r="U56" s="25"/>
      <c r="V56" s="25"/>
      <c r="W56" s="25"/>
      <c r="X56" s="25"/>
      <c r="Y56" s="25"/>
      <c r="Z56" s="25"/>
    </row>
    <row r="57">
      <c r="A57" s="25"/>
      <c r="B57" s="79" t="s">
        <v>7</v>
      </c>
      <c r="C57" s="83">
        <f t="shared" ref="C57:G57" si="25">((C46-C$51)/SQRT(C$52+$G$55))</f>
        <v>-0.1509090222</v>
      </c>
      <c r="D57" s="84">
        <f t="shared" si="25"/>
        <v>0.09463654434</v>
      </c>
      <c r="E57" s="84">
        <f t="shared" si="25"/>
        <v>1.622897323</v>
      </c>
      <c r="F57" s="84">
        <f t="shared" si="25"/>
        <v>-1.383056282</v>
      </c>
      <c r="G57" s="85">
        <f t="shared" si="25"/>
        <v>1.703953299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81"/>
      <c r="T57" s="82"/>
      <c r="U57" s="25"/>
      <c r="V57" s="25"/>
      <c r="W57" s="25"/>
      <c r="X57" s="25"/>
      <c r="Y57" s="25"/>
      <c r="Z57" s="25"/>
    </row>
    <row r="58">
      <c r="A58" s="25"/>
      <c r="B58" s="11" t="s">
        <v>14</v>
      </c>
      <c r="C58" s="86">
        <f t="shared" ref="C58:G58" si="26">((C47-C$51)/SQRT(C$52+$G$55))</f>
        <v>-1.38130453</v>
      </c>
      <c r="D58" s="87">
        <f t="shared" si="26"/>
        <v>-0.5474737648</v>
      </c>
      <c r="E58" s="87">
        <f t="shared" si="26"/>
        <v>-0.7299373229</v>
      </c>
      <c r="F58" s="87">
        <f t="shared" si="26"/>
        <v>0.8227747201</v>
      </c>
      <c r="G58" s="88">
        <f t="shared" si="26"/>
        <v>-0.2774921992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81"/>
      <c r="T58" s="82"/>
      <c r="U58" s="25"/>
      <c r="V58" s="25"/>
      <c r="W58" s="25"/>
      <c r="X58" s="25"/>
      <c r="Y58" s="25"/>
      <c r="Z58" s="25"/>
    </row>
    <row r="59">
      <c r="A59" s="25"/>
      <c r="B59" s="25"/>
      <c r="C59" s="86">
        <f t="shared" ref="C59:G59" si="27">((C48-C$51)/SQRT(C$52+$G$55))</f>
        <v>0.279233024</v>
      </c>
      <c r="D59" s="87">
        <f t="shared" si="27"/>
        <v>1.150054699</v>
      </c>
      <c r="E59" s="87">
        <f t="shared" si="27"/>
        <v>-0.7914532358</v>
      </c>
      <c r="F59" s="87">
        <f t="shared" si="27"/>
        <v>1.004024437</v>
      </c>
      <c r="G59" s="88">
        <f t="shared" si="27"/>
        <v>-0.9086173517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81"/>
      <c r="T59" s="82"/>
      <c r="U59" s="25"/>
      <c r="V59" s="25"/>
      <c r="W59" s="25"/>
      <c r="X59" s="25"/>
      <c r="Y59" s="25"/>
      <c r="Z59" s="25"/>
    </row>
    <row r="60">
      <c r="A60" s="25"/>
      <c r="B60" s="25"/>
      <c r="C60" s="86">
        <f t="shared" ref="C60:G60" si="28">((C49-C$51)/SQRT(C$52+$G$55))</f>
        <v>-0.1501283938</v>
      </c>
      <c r="D60" s="87">
        <f t="shared" si="28"/>
        <v>-1.379539019</v>
      </c>
      <c r="E60" s="87">
        <f t="shared" si="28"/>
        <v>-0.3684369887</v>
      </c>
      <c r="F60" s="87">
        <f t="shared" si="28"/>
        <v>0.1677938935</v>
      </c>
      <c r="G60" s="88">
        <f t="shared" si="28"/>
        <v>-0.4319459609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81"/>
      <c r="T60" s="82"/>
      <c r="U60" s="25"/>
      <c r="V60" s="25"/>
      <c r="W60" s="25"/>
      <c r="X60" s="25"/>
      <c r="Y60" s="25"/>
      <c r="Z60" s="25"/>
    </row>
    <row r="61">
      <c r="A61" s="25"/>
      <c r="B61" s="25"/>
      <c r="C61" s="89">
        <f t="shared" ref="C61:G61" si="29">((C50-C$51)/SQRT(C$52+$G$55))</f>
        <v>1.403108922</v>
      </c>
      <c r="D61" s="90">
        <f t="shared" si="29"/>
        <v>0.6823215412</v>
      </c>
      <c r="E61" s="90">
        <f t="shared" si="29"/>
        <v>0.2669302244</v>
      </c>
      <c r="F61" s="90">
        <f t="shared" si="29"/>
        <v>-0.6115367688</v>
      </c>
      <c r="G61" s="91">
        <f t="shared" si="29"/>
        <v>-0.08589778705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81"/>
      <c r="T61" s="82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92" t="s">
        <v>9</v>
      </c>
      <c r="E64" s="25"/>
      <c r="F64" s="79" t="s">
        <v>10</v>
      </c>
      <c r="G64" s="93">
        <v>0.5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E65" s="25"/>
      <c r="F65" s="79" t="s">
        <v>11</v>
      </c>
      <c r="G65" s="94">
        <v>-0.1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11" t="s">
        <v>15</v>
      </c>
      <c r="C67" s="28">
        <f t="shared" ref="C67:G67" si="30">$G$64*C57+$G$65</f>
        <v>-0.1754545111</v>
      </c>
      <c r="D67" s="29">
        <f t="shared" si="30"/>
        <v>-0.05268172783</v>
      </c>
      <c r="E67" s="29">
        <f t="shared" si="30"/>
        <v>0.7114486615</v>
      </c>
      <c r="F67" s="29">
        <f t="shared" si="30"/>
        <v>-0.791528141</v>
      </c>
      <c r="G67" s="30">
        <f t="shared" si="30"/>
        <v>0.7519766494</v>
      </c>
      <c r="H67" s="25"/>
      <c r="I67" s="25"/>
      <c r="J67" s="9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31">
        <f t="shared" ref="C68:G68" si="31">$G$64*C58+$G$65</f>
        <v>-0.7906522649</v>
      </c>
      <c r="D68" s="32">
        <f t="shared" si="31"/>
        <v>-0.3737368824</v>
      </c>
      <c r="E68" s="32">
        <f t="shared" si="31"/>
        <v>-0.4649686614</v>
      </c>
      <c r="F68" s="32">
        <f t="shared" si="31"/>
        <v>0.3113873601</v>
      </c>
      <c r="G68" s="33">
        <f t="shared" si="31"/>
        <v>-0.2387460996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31">
        <f t="shared" ref="C69:G69" si="32">$G$64*C59+$G$65</f>
        <v>0.03961651202</v>
      </c>
      <c r="D69" s="32">
        <f t="shared" si="32"/>
        <v>0.4750273493</v>
      </c>
      <c r="E69" s="32">
        <f t="shared" si="32"/>
        <v>-0.4957266179</v>
      </c>
      <c r="F69" s="32">
        <f t="shared" si="32"/>
        <v>0.4020122186</v>
      </c>
      <c r="G69" s="33">
        <f t="shared" si="32"/>
        <v>-0.5543086759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31">
        <f t="shared" ref="C70:G70" si="33">$G$64*C60+$G$65</f>
        <v>-0.1750641969</v>
      </c>
      <c r="D70" s="32">
        <f t="shared" si="33"/>
        <v>-0.7897695097</v>
      </c>
      <c r="E70" s="32">
        <f t="shared" si="33"/>
        <v>-0.2842184943</v>
      </c>
      <c r="F70" s="32">
        <f t="shared" si="33"/>
        <v>-0.01610305326</v>
      </c>
      <c r="G70" s="33">
        <f t="shared" si="33"/>
        <v>-0.3159729804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34">
        <f t="shared" ref="C71:G71" si="34">$G$64*C61+$G$65</f>
        <v>0.6015544609</v>
      </c>
      <c r="D71" s="35">
        <f t="shared" si="34"/>
        <v>0.2411607706</v>
      </c>
      <c r="E71" s="35">
        <f t="shared" si="34"/>
        <v>0.03346511219</v>
      </c>
      <c r="F71" s="35">
        <f t="shared" si="34"/>
        <v>-0.4057683844</v>
      </c>
      <c r="G71" s="36">
        <f t="shared" si="34"/>
        <v>-0.1429488935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3" t="s">
        <v>16</v>
      </c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C81" s="1"/>
      <c r="D81" s="2"/>
      <c r="E81" s="2"/>
      <c r="F81" s="2"/>
      <c r="G81" s="7" t="s">
        <v>1</v>
      </c>
      <c r="H81" s="8"/>
      <c r="I81" s="8"/>
      <c r="J81" s="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I82" s="9" t="s">
        <v>17</v>
      </c>
      <c r="J82" s="124"/>
      <c r="K82" s="2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C83" s="11" t="s">
        <v>4</v>
      </c>
      <c r="D83" s="12">
        <f t="shared" ref="D83:H83" si="35">Rand()</f>
        <v>0.8320524386</v>
      </c>
      <c r="E83" s="13">
        <f t="shared" si="35"/>
        <v>0.6306636884</v>
      </c>
      <c r="F83" s="13">
        <f t="shared" si="35"/>
        <v>0.3962495937</v>
      </c>
      <c r="G83" s="13">
        <f t="shared" si="35"/>
        <v>0.4880512544</v>
      </c>
      <c r="H83" s="14">
        <f t="shared" si="35"/>
        <v>0.8779038077</v>
      </c>
      <c r="I83" s="16">
        <f t="shared" ref="I83:I87" si="37">SUMSQ(D83:H83)</f>
        <v>2.255970811</v>
      </c>
      <c r="J83" s="16"/>
      <c r="K83" s="2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C84" s="1"/>
      <c r="D84" s="17">
        <f t="shared" ref="D84:H84" si="36">Rand()</f>
        <v>0.6221745258</v>
      </c>
      <c r="E84" s="16">
        <f t="shared" si="36"/>
        <v>0.5436252974</v>
      </c>
      <c r="F84" s="16">
        <f t="shared" si="36"/>
        <v>0.2927140589</v>
      </c>
      <c r="G84" s="16">
        <f t="shared" si="36"/>
        <v>0.9224462864</v>
      </c>
      <c r="H84" s="18">
        <f t="shared" si="36"/>
        <v>0.4726286243</v>
      </c>
      <c r="I84" s="16">
        <f t="shared" si="37"/>
        <v>1.842596093</v>
      </c>
      <c r="J84" s="16"/>
      <c r="K84" s="2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C85" s="1"/>
      <c r="D85" s="17">
        <f t="shared" ref="D85:H85" si="38">Rand()</f>
        <v>0.9045639025</v>
      </c>
      <c r="E85" s="16">
        <f t="shared" si="38"/>
        <v>0.2640772839</v>
      </c>
      <c r="F85" s="16">
        <f t="shared" si="38"/>
        <v>0.6524304833</v>
      </c>
      <c r="G85" s="16">
        <f t="shared" si="38"/>
        <v>0.4705274005</v>
      </c>
      <c r="H85" s="18">
        <f t="shared" si="38"/>
        <v>0.1005001022</v>
      </c>
      <c r="I85" s="16">
        <f t="shared" si="37"/>
        <v>1.545134506</v>
      </c>
      <c r="J85" s="16"/>
      <c r="K85" s="2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C86" s="1"/>
      <c r="D86" s="17">
        <f t="shared" ref="D86:H86" si="39">Rand()</f>
        <v>0.3853897054</v>
      </c>
      <c r="E86" s="16">
        <f t="shared" si="39"/>
        <v>0.9998892874</v>
      </c>
      <c r="F86" s="16">
        <f t="shared" si="39"/>
        <v>0.4907046487</v>
      </c>
      <c r="G86" s="16">
        <f t="shared" si="39"/>
        <v>0.5548036729</v>
      </c>
      <c r="H86" s="18">
        <f t="shared" si="39"/>
        <v>0.4106413039</v>
      </c>
      <c r="I86" s="16">
        <f t="shared" si="37"/>
        <v>1.86552826</v>
      </c>
      <c r="J86" s="16"/>
      <c r="K86" s="2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C87" s="1"/>
      <c r="D87" s="19">
        <f t="shared" ref="D87:H87" si="40">Rand()</f>
        <v>0.888208801</v>
      </c>
      <c r="E87" s="20">
        <f t="shared" si="40"/>
        <v>0.5918613565</v>
      </c>
      <c r="F87" s="20">
        <f t="shared" si="40"/>
        <v>0.5209945253</v>
      </c>
      <c r="G87" s="20">
        <f t="shared" si="40"/>
        <v>0.6382553468</v>
      </c>
      <c r="H87" s="21">
        <f t="shared" si="40"/>
        <v>0.6251307497</v>
      </c>
      <c r="I87" s="16">
        <f t="shared" si="37"/>
        <v>2.208808377</v>
      </c>
      <c r="J87" s="16"/>
      <c r="K87" s="2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J88" s="2"/>
      <c r="K88" s="2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J89" s="2"/>
      <c r="K89" s="2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2" t="s">
        <v>5</v>
      </c>
      <c r="G90" s="23" t="s">
        <v>6</v>
      </c>
      <c r="H90" s="24">
        <f>1E-16</f>
        <v>0</v>
      </c>
      <c r="J90" s="2"/>
      <c r="K90" s="2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81"/>
      <c r="C92" s="126" t="s">
        <v>19</v>
      </c>
      <c r="D92" s="127">
        <f t="shared" ref="D92:H92" si="41">(D83)/($I83+$H$90)</f>
        <v>0.3688223422</v>
      </c>
      <c r="E92" s="128">
        <f t="shared" si="41"/>
        <v>0.2795531242</v>
      </c>
      <c r="F92" s="128">
        <f t="shared" si="41"/>
        <v>0.1756448229</v>
      </c>
      <c r="G92" s="128">
        <f t="shared" si="41"/>
        <v>0.2163375749</v>
      </c>
      <c r="H92" s="129">
        <f t="shared" si="41"/>
        <v>0.3891467936</v>
      </c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81"/>
      <c r="C93" s="126" t="s">
        <v>8</v>
      </c>
      <c r="D93" s="130">
        <f t="shared" ref="D93:H93" si="42">(D84)/($I84+$H$90)</f>
        <v>0.3376619153</v>
      </c>
      <c r="E93" s="53">
        <f t="shared" si="42"/>
        <v>0.2950322643</v>
      </c>
      <c r="F93" s="53">
        <f t="shared" si="42"/>
        <v>0.1588595895</v>
      </c>
      <c r="G93" s="53">
        <f t="shared" si="42"/>
        <v>0.5006231643</v>
      </c>
      <c r="H93" s="131">
        <f t="shared" si="42"/>
        <v>0.2565014797</v>
      </c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81"/>
      <c r="C94" s="81"/>
      <c r="D94" s="130">
        <f t="shared" ref="D94:H94" si="43">(D85)/($I85+$H$90)</f>
        <v>0.5854272873</v>
      </c>
      <c r="E94" s="53">
        <f t="shared" si="43"/>
        <v>0.1709089292</v>
      </c>
      <c r="F94" s="53">
        <f t="shared" si="43"/>
        <v>0.4222483419</v>
      </c>
      <c r="G94" s="53">
        <f t="shared" si="43"/>
        <v>0.3045219679</v>
      </c>
      <c r="H94" s="131">
        <f t="shared" si="43"/>
        <v>0.06504294725</v>
      </c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81"/>
      <c r="C95" s="81"/>
      <c r="D95" s="130">
        <f t="shared" ref="D95:H95" si="44">(D86)/($I86+$H$90)</f>
        <v>0.2065847586</v>
      </c>
      <c r="E95" s="53">
        <f t="shared" si="44"/>
        <v>0.5359818496</v>
      </c>
      <c r="F95" s="53">
        <f t="shared" si="44"/>
        <v>0.2630379068</v>
      </c>
      <c r="G95" s="53">
        <f t="shared" si="44"/>
        <v>0.2973976244</v>
      </c>
      <c r="H95" s="131">
        <f t="shared" si="44"/>
        <v>0.2201206557</v>
      </c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81"/>
      <c r="C96" s="81"/>
      <c r="D96" s="132">
        <f t="shared" ref="D96:H96" si="45">(D87)/($I87+$H$90)</f>
        <v>0.402121257</v>
      </c>
      <c r="E96" s="133">
        <f t="shared" si="45"/>
        <v>0.2679550488</v>
      </c>
      <c r="F96" s="133">
        <f t="shared" si="45"/>
        <v>0.2358713099</v>
      </c>
      <c r="G96" s="133">
        <f t="shared" si="45"/>
        <v>0.28895913</v>
      </c>
      <c r="H96" s="134">
        <f t="shared" si="45"/>
        <v>0.2830171944</v>
      </c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135"/>
      <c r="C97" s="136"/>
      <c r="D97" s="16"/>
      <c r="E97" s="16"/>
      <c r="F97" s="16"/>
      <c r="G97" s="16"/>
      <c r="H97" s="16"/>
      <c r="I97" s="2"/>
      <c r="J97" s="2"/>
      <c r="K97" s="2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135"/>
      <c r="C98" s="136"/>
      <c r="D98" s="16"/>
      <c r="E98" s="16"/>
      <c r="F98" s="16"/>
      <c r="G98" s="16"/>
      <c r="H98" s="16"/>
      <c r="I98" s="2"/>
      <c r="J98" s="2"/>
      <c r="K98" s="2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138" t="s">
        <v>9</v>
      </c>
      <c r="F99" s="16"/>
      <c r="G99" s="139" t="s">
        <v>10</v>
      </c>
      <c r="H99" s="140">
        <v>0.5</v>
      </c>
      <c r="I99" s="2"/>
      <c r="J99" s="2"/>
      <c r="K99" s="2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F100" s="16"/>
      <c r="G100" s="139"/>
      <c r="H100" s="15"/>
      <c r="I100" s="2"/>
      <c r="J100" s="2"/>
      <c r="K100" s="2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135"/>
      <c r="C101" s="136"/>
      <c r="D101" s="16"/>
      <c r="E101" s="16"/>
      <c r="F101" s="16"/>
      <c r="G101" s="16"/>
      <c r="H101" s="16"/>
      <c r="I101" s="2"/>
      <c r="J101" s="2"/>
      <c r="K101" s="2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135"/>
      <c r="C102" s="139" t="s">
        <v>21</v>
      </c>
      <c r="D102" s="12">
        <f t="array" ref="D102:H106">H99*D92:H96</f>
        <v>0.1844111711</v>
      </c>
      <c r="E102" s="13">
        <v>0.13977656208940764</v>
      </c>
      <c r="F102" s="13">
        <v>0.0878224114622064</v>
      </c>
      <c r="G102" s="13">
        <v>0.10816878744614278</v>
      </c>
      <c r="H102" s="14">
        <v>0.19457339680754393</v>
      </c>
      <c r="I102" s="2"/>
      <c r="J102" s="2"/>
      <c r="K102" s="2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135"/>
      <c r="C103" s="136"/>
      <c r="D103" s="17">
        <v>0.16883095766384326</v>
      </c>
      <c r="E103" s="16">
        <v>0.1475161321444282</v>
      </c>
      <c r="F103" s="16">
        <v>0.07942979474193924</v>
      </c>
      <c r="G103" s="16">
        <v>0.2503115821492505</v>
      </c>
      <c r="H103" s="18">
        <v>0.12825073986551125</v>
      </c>
      <c r="I103" s="2"/>
      <c r="J103" s="2"/>
      <c r="K103" s="2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135"/>
      <c r="C104" s="136"/>
      <c r="D104" s="17">
        <v>0.29271364365752617</v>
      </c>
      <c r="E104" s="16">
        <v>0.0854544645923103</v>
      </c>
      <c r="F104" s="16">
        <v>0.21112417096567845</v>
      </c>
      <c r="G104" s="16">
        <v>0.15226098394439846</v>
      </c>
      <c r="H104" s="18">
        <v>0.03252147362250307</v>
      </c>
      <c r="I104" s="2"/>
      <c r="J104" s="2"/>
      <c r="K104" s="2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135"/>
      <c r="C105" s="136"/>
      <c r="D105" s="17">
        <v>0.10329237931981367</v>
      </c>
      <c r="E105" s="16">
        <v>0.26799092478865755</v>
      </c>
      <c r="F105" s="16">
        <v>0.13151895339796355</v>
      </c>
      <c r="G105" s="16">
        <v>0.14869881220598233</v>
      </c>
      <c r="H105" s="18">
        <v>0.1100603278539185</v>
      </c>
      <c r="I105" s="2"/>
      <c r="J105" s="2"/>
      <c r="K105" s="2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135"/>
      <c r="C106" s="136"/>
      <c r="D106" s="19">
        <v>0.20106062850647308</v>
      </c>
      <c r="E106" s="20">
        <v>0.13397752441238142</v>
      </c>
      <c r="F106" s="20">
        <v>0.11793565497131434</v>
      </c>
      <c r="G106" s="20">
        <v>0.14447956498055659</v>
      </c>
      <c r="H106" s="21">
        <v>0.1415085971861101</v>
      </c>
      <c r="I106" s="2"/>
      <c r="J106" s="2"/>
      <c r="K106" s="2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5"/>
      <c r="T107" s="6"/>
      <c r="U107" s="2"/>
      <c r="V107" s="2"/>
      <c r="W107" s="2"/>
      <c r="X107" s="2"/>
      <c r="Y107" s="2"/>
      <c r="Z107" s="2"/>
    </row>
    <row r="108">
      <c r="A108" s="3" t="s">
        <v>22</v>
      </c>
    </row>
    <row r="109"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5"/>
      <c r="T109" s="6"/>
      <c r="U109" s="2"/>
      <c r="V109" s="2"/>
      <c r="W109" s="2"/>
      <c r="X109" s="2"/>
      <c r="Y109" s="2"/>
      <c r="Z109" s="2"/>
    </row>
    <row r="110">
      <c r="B110" s="11" t="s">
        <v>4</v>
      </c>
      <c r="C110" s="12">
        <f t="shared" ref="C110:G110" si="46">Rand()</f>
        <v>0.9486836075</v>
      </c>
      <c r="D110" s="13">
        <f t="shared" si="46"/>
        <v>0.06240326888</v>
      </c>
      <c r="E110" s="13">
        <f t="shared" si="46"/>
        <v>0.7286708007</v>
      </c>
      <c r="F110" s="13">
        <f t="shared" si="46"/>
        <v>0.8601073939</v>
      </c>
      <c r="G110" s="14">
        <f t="shared" si="46"/>
        <v>0.8382384254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5"/>
      <c r="T110" s="6"/>
      <c r="U110" s="2"/>
      <c r="V110" s="2"/>
      <c r="W110" s="2"/>
      <c r="X110" s="2"/>
      <c r="Y110" s="2"/>
      <c r="Z110" s="2"/>
    </row>
    <row r="111">
      <c r="B111" s="1"/>
      <c r="C111" s="17">
        <f t="shared" ref="C111:G111" si="47">Rand()</f>
        <v>0.2398032594</v>
      </c>
      <c r="D111" s="16">
        <f t="shared" si="47"/>
        <v>0.4471451548</v>
      </c>
      <c r="E111" s="16">
        <f t="shared" si="47"/>
        <v>0.6694915378</v>
      </c>
      <c r="F111" s="16">
        <f t="shared" si="47"/>
        <v>0.752669654</v>
      </c>
      <c r="G111" s="18">
        <f t="shared" si="47"/>
        <v>0.5770360711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5"/>
      <c r="T111" s="6"/>
      <c r="U111" s="2"/>
      <c r="V111" s="2"/>
      <c r="W111" s="2"/>
      <c r="X111" s="2"/>
      <c r="Y111" s="2"/>
      <c r="Z111" s="2"/>
    </row>
    <row r="112">
      <c r="B112" s="1"/>
      <c r="C112" s="17">
        <f t="shared" ref="C112:G112" si="48">Rand()</f>
        <v>0.9797126951</v>
      </c>
      <c r="D112" s="16">
        <f t="shared" si="48"/>
        <v>0.6259424092</v>
      </c>
      <c r="E112" s="16">
        <f t="shared" si="48"/>
        <v>0.2297407377</v>
      </c>
      <c r="F112" s="16">
        <f t="shared" si="48"/>
        <v>0.001152439223</v>
      </c>
      <c r="G112" s="18">
        <f t="shared" si="48"/>
        <v>0.06539528993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5"/>
      <c r="T112" s="6"/>
      <c r="U112" s="2"/>
      <c r="V112" s="2"/>
      <c r="W112" s="2"/>
      <c r="X112" s="2"/>
      <c r="Y112" s="2"/>
      <c r="Z112" s="2"/>
    </row>
    <row r="113">
      <c r="B113" s="1"/>
      <c r="C113" s="17">
        <f t="shared" ref="C113:G113" si="49">Rand()</f>
        <v>0.9728778619</v>
      </c>
      <c r="D113" s="16">
        <f t="shared" si="49"/>
        <v>0.9443615586</v>
      </c>
      <c r="E113" s="16">
        <f t="shared" si="49"/>
        <v>0.9080387855</v>
      </c>
      <c r="F113" s="16">
        <f t="shared" si="49"/>
        <v>0.6488652565</v>
      </c>
      <c r="G113" s="18">
        <f t="shared" si="49"/>
        <v>0.4438845571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5"/>
      <c r="T113" s="6"/>
      <c r="U113" s="2"/>
      <c r="V113" s="2"/>
      <c r="W113" s="2"/>
      <c r="X113" s="2"/>
      <c r="Y113" s="2"/>
      <c r="Z113" s="2"/>
    </row>
    <row r="114">
      <c r="B114" s="1"/>
      <c r="C114" s="19">
        <f t="shared" ref="C114:G114" si="50">Rand()</f>
        <v>0.02456809251</v>
      </c>
      <c r="D114" s="20">
        <f t="shared" si="50"/>
        <v>0.8721332074</v>
      </c>
      <c r="E114" s="20">
        <f t="shared" si="50"/>
        <v>0.6423909597</v>
      </c>
      <c r="F114" s="20">
        <f t="shared" si="50"/>
        <v>0.9007084963</v>
      </c>
      <c r="G114" s="21">
        <f t="shared" si="50"/>
        <v>0.58969745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5"/>
      <c r="T114" s="6"/>
      <c r="U114" s="2"/>
      <c r="V114" s="2"/>
      <c r="W114" s="2"/>
      <c r="X114" s="2"/>
      <c r="Y114" s="2"/>
      <c r="Z114" s="2"/>
    </row>
    <row r="115"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5"/>
      <c r="T115" s="6"/>
      <c r="U115" s="2"/>
      <c r="V115" s="2"/>
      <c r="W115" s="2"/>
      <c r="X115" s="2"/>
      <c r="Y115" s="2"/>
      <c r="Z115" s="2"/>
    </row>
    <row r="116">
      <c r="C116" s="137" t="s">
        <v>21</v>
      </c>
      <c r="D116" s="2"/>
      <c r="E116" s="2"/>
      <c r="F116" s="2"/>
      <c r="G116" s="2"/>
      <c r="H116" s="2"/>
      <c r="J116" s="11" t="s">
        <v>15</v>
      </c>
      <c r="K116" s="2"/>
      <c r="L116" s="2"/>
      <c r="M116" s="2"/>
      <c r="N116" s="2"/>
      <c r="O116" s="137" t="s">
        <v>12</v>
      </c>
      <c r="P116" s="2"/>
      <c r="Q116" s="2"/>
      <c r="R116" s="2"/>
      <c r="S116" s="5"/>
      <c r="T116" s="6"/>
      <c r="U116" s="2"/>
      <c r="V116" s="2"/>
      <c r="W116" s="2"/>
      <c r="X116" s="2"/>
      <c r="Y116" s="2"/>
      <c r="Z116" s="2"/>
    </row>
    <row r="117">
      <c r="C117" s="150">
        <f t="array" ref="C117:G121">LET(x,C110:G114,rms,SQRT(MMULT(x^2,SEQUENCE(5,1,1/5,0))),x/rms)</f>
        <v>1.250590175</v>
      </c>
      <c r="D117" s="142">
        <v>0.08226232043438479</v>
      </c>
      <c r="E117" s="142">
        <v>0.9605610728139279</v>
      </c>
      <c r="F117" s="142">
        <v>1.1338257005279917</v>
      </c>
      <c r="G117" s="143">
        <v>1.1049972091558922</v>
      </c>
      <c r="H117" s="2"/>
      <c r="I117" s="12">
        <f t="array" ref="I117:M121">LET(x,C110:G114,mu,MMULT(SEQUENCE(1,5,1/5,0),x),c,x-mu,v,MMULT(SEQUENCE(1,5,1/5,0),c^2),c/SQRT(v))</f>
        <v>0.760791729</v>
      </c>
      <c r="J117" s="13">
        <v>-1.6610017810639206</v>
      </c>
      <c r="K117" s="13">
        <v>0.4169281354002464</v>
      </c>
      <c r="L117" s="13">
        <v>0.6938752182840299</v>
      </c>
      <c r="M117" s="14">
        <v>1.324961630549375</v>
      </c>
      <c r="O117" s="152">
        <f t="shared" ref="O117:S117" si="51">(C110-AVERAGE($C110:$G110))/STDEVP($C110:$G110)</f>
        <v>0.8148885439</v>
      </c>
      <c r="P117" s="153">
        <f t="shared" si="51"/>
        <v>-1.95156993</v>
      </c>
      <c r="Q117" s="153">
        <f t="shared" si="51"/>
        <v>0.128134853</v>
      </c>
      <c r="R117" s="153">
        <f t="shared" si="51"/>
        <v>0.5384044497</v>
      </c>
      <c r="S117" s="154">
        <f t="shared" si="51"/>
        <v>0.4701420831</v>
      </c>
      <c r="T117" s="6"/>
      <c r="U117" s="2"/>
      <c r="V117" s="2"/>
      <c r="W117" s="2"/>
      <c r="X117" s="2"/>
      <c r="Y117" s="2"/>
      <c r="Z117" s="2"/>
    </row>
    <row r="118">
      <c r="C118" s="155">
        <v>0.4232362665470496</v>
      </c>
      <c r="D118" s="145">
        <v>0.7891804572257338</v>
      </c>
      <c r="E118" s="145">
        <v>1.1816065370927216</v>
      </c>
      <c r="F118" s="145">
        <v>1.3284101937251906</v>
      </c>
      <c r="G118" s="146">
        <v>1.0184289947360317</v>
      </c>
      <c r="H118" s="2"/>
      <c r="I118" s="17">
        <v>-0.9482959198097749</v>
      </c>
      <c r="J118" s="16">
        <v>-0.45065253810489964</v>
      </c>
      <c r="K118" s="16">
        <v>0.15163377150467552</v>
      </c>
      <c r="L118" s="16">
        <v>0.36605563245268374</v>
      </c>
      <c r="M118" s="18">
        <v>0.2930731063105773</v>
      </c>
      <c r="O118" s="156">
        <f t="shared" ref="O118:S118" si="52">(C111-AVERAGE($C111:$G111))/STDEVP($C111:$G111)</f>
        <v>-1.65200998</v>
      </c>
      <c r="P118" s="135">
        <f t="shared" si="52"/>
        <v>-0.5003587349</v>
      </c>
      <c r="Q118" s="135">
        <f t="shared" si="52"/>
        <v>0.7346328154</v>
      </c>
      <c r="R118" s="135">
        <f t="shared" si="52"/>
        <v>1.196633902</v>
      </c>
      <c r="S118" s="157">
        <f t="shared" si="52"/>
        <v>0.2211019968</v>
      </c>
      <c r="T118" s="6"/>
      <c r="U118" s="2"/>
      <c r="V118" s="2"/>
      <c r="W118" s="2"/>
      <c r="X118" s="2"/>
      <c r="Y118" s="2"/>
      <c r="Z118" s="2"/>
    </row>
    <row r="119">
      <c r="C119" s="155">
        <v>1.8457571138869475</v>
      </c>
      <c r="D119" s="145">
        <v>1.179261696276586</v>
      </c>
      <c r="E119" s="145">
        <v>0.4328264837286599</v>
      </c>
      <c r="F119" s="145">
        <v>0.0021711700839785885</v>
      </c>
      <c r="G119" s="146">
        <v>0.12320328418571282</v>
      </c>
      <c r="H119" s="2"/>
      <c r="I119" s="17">
        <v>0.8356018581381276</v>
      </c>
      <c r="J119" s="16">
        <v>0.11182097865050544</v>
      </c>
      <c r="K119" s="16">
        <v>-1.8197224608292424</v>
      </c>
      <c r="L119" s="16">
        <v>-1.9270125402272618</v>
      </c>
      <c r="M119" s="18">
        <v>-1.728180692088434</v>
      </c>
      <c r="O119" s="156">
        <f t="shared" ref="O119:S119" si="53">(C112-AVERAGE($C112:$G112))/STDEVP($C112:$G112)</f>
        <v>1.618941337</v>
      </c>
      <c r="P119" s="135">
        <f t="shared" si="53"/>
        <v>0.6633090613</v>
      </c>
      <c r="Q119" s="135">
        <f t="shared" si="53"/>
        <v>-0.4069422288</v>
      </c>
      <c r="R119" s="135">
        <f t="shared" si="53"/>
        <v>-1.024423019</v>
      </c>
      <c r="S119" s="157">
        <f t="shared" si="53"/>
        <v>-0.85088515</v>
      </c>
      <c r="T119" s="6"/>
      <c r="U119" s="2"/>
      <c r="V119" s="2"/>
      <c r="W119" s="2"/>
      <c r="X119" s="2"/>
      <c r="Y119" s="2"/>
      <c r="Z119" s="2"/>
    </row>
    <row r="120">
      <c r="C120" s="155">
        <v>1.2010098025936449</v>
      </c>
      <c r="D120" s="145">
        <v>1.1658066581931381</v>
      </c>
      <c r="E120" s="145">
        <v>1.1209664904967112</v>
      </c>
      <c r="F120" s="145">
        <v>0.8010188782317986</v>
      </c>
      <c r="G120" s="146">
        <v>0.5479718730795227</v>
      </c>
      <c r="H120" s="2"/>
      <c r="I120" s="17">
        <v>0.8191232957364185</v>
      </c>
      <c r="J120" s="16">
        <v>1.1135272925869495</v>
      </c>
      <c r="K120" s="16">
        <v>1.221015802000935</v>
      </c>
      <c r="L120" s="16">
        <v>0.049322289048819475</v>
      </c>
      <c r="M120" s="18">
        <v>-0.23294634612598544</v>
      </c>
      <c r="O120" s="156">
        <f t="shared" ref="O120:S120" si="54">(C113-AVERAGE($C113:$G113))/STDEVP($C113:$G113)</f>
        <v>0.9219848691</v>
      </c>
      <c r="P120" s="135">
        <f t="shared" si="54"/>
        <v>0.7830759741</v>
      </c>
      <c r="Q120" s="135">
        <f t="shared" si="54"/>
        <v>0.6061401278</v>
      </c>
      <c r="R120" s="135">
        <f t="shared" si="54"/>
        <v>-0.6563484945</v>
      </c>
      <c r="S120" s="157">
        <f t="shared" si="54"/>
        <v>-1.654852477</v>
      </c>
      <c r="T120" s="6"/>
      <c r="U120" s="2"/>
      <c r="V120" s="2"/>
      <c r="W120" s="2"/>
      <c r="X120" s="2"/>
      <c r="Y120" s="2"/>
      <c r="Z120" s="2"/>
    </row>
    <row r="121">
      <c r="C121" s="158">
        <v>0.03596730677001791</v>
      </c>
      <c r="D121" s="148">
        <v>1.2767895023987115</v>
      </c>
      <c r="E121" s="148">
        <v>0.9404504114823841</v>
      </c>
      <c r="F121" s="148">
        <v>1.3186232825971962</v>
      </c>
      <c r="G121" s="149">
        <v>0.8633079297350232</v>
      </c>
      <c r="H121" s="2"/>
      <c r="I121" s="19">
        <v>-1.4672209631003694</v>
      </c>
      <c r="J121" s="20">
        <v>0.8863060479313657</v>
      </c>
      <c r="K121" s="20">
        <v>0.03014475192338366</v>
      </c>
      <c r="L121" s="20">
        <v>0.8177594004417283</v>
      </c>
      <c r="M121" s="21">
        <v>0.34309230135446717</v>
      </c>
      <c r="O121" s="159">
        <f t="shared" ref="O121:S121" si="55">(C114-AVERAGE($C114:$G114))/STDEVP($C114:$G114)</f>
        <v>-1.843254173</v>
      </c>
      <c r="P121" s="160">
        <f t="shared" si="55"/>
        <v>0.8441587816</v>
      </c>
      <c r="Q121" s="160">
        <f t="shared" si="55"/>
        <v>0.1157046702</v>
      </c>
      <c r="R121" s="160">
        <f t="shared" si="55"/>
        <v>0.9347637395</v>
      </c>
      <c r="S121" s="161">
        <f t="shared" si="55"/>
        <v>-0.0513730187</v>
      </c>
      <c r="T121" s="6"/>
      <c r="U121" s="2"/>
      <c r="V121" s="2"/>
      <c r="W121" s="2"/>
      <c r="X121" s="2"/>
      <c r="Y121" s="2"/>
      <c r="Z121" s="2"/>
    </row>
    <row r="122"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5"/>
      <c r="T122" s="6"/>
      <c r="U122" s="2"/>
      <c r="V122" s="2"/>
      <c r="W122" s="2"/>
      <c r="X122" s="2"/>
      <c r="Y122" s="2"/>
      <c r="Z122" s="2"/>
    </row>
    <row r="123"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5"/>
      <c r="T123" s="6"/>
      <c r="U123" s="2"/>
      <c r="V123" s="2"/>
      <c r="W123" s="2"/>
      <c r="X123" s="2"/>
      <c r="Y123" s="2"/>
      <c r="Z123" s="2"/>
    </row>
    <row r="124"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5"/>
      <c r="T124" s="6"/>
      <c r="U124" s="2"/>
      <c r="V124" s="2"/>
      <c r="W124" s="2"/>
      <c r="X124" s="2"/>
      <c r="Y124" s="2"/>
      <c r="Z124" s="2"/>
    </row>
    <row r="125">
      <c r="A125" s="151" t="s">
        <v>23</v>
      </c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23" t="s">
        <v>4</v>
      </c>
      <c r="C127" s="12">
        <f t="shared" ref="C127:G127" si="56">NORMINV(rand(),0, sqrt(2/5))</f>
        <v>0.5544511597</v>
      </c>
      <c r="D127" s="13">
        <f t="shared" si="56"/>
        <v>0.4821651651</v>
      </c>
      <c r="E127" s="13">
        <f t="shared" si="56"/>
        <v>0.007551638205</v>
      </c>
      <c r="F127" s="13">
        <f t="shared" si="56"/>
        <v>-0.4280015821</v>
      </c>
      <c r="G127" s="14">
        <f t="shared" si="56"/>
        <v>0.09114255992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17">
        <f t="shared" ref="C128:G128" si="57">NORMINV(rand(),0, sqrt(2/5))</f>
        <v>0.168825887</v>
      </c>
      <c r="D128" s="16">
        <f t="shared" si="57"/>
        <v>0.2281052513</v>
      </c>
      <c r="E128" s="16">
        <f t="shared" si="57"/>
        <v>-0.02734335313</v>
      </c>
      <c r="F128" s="16">
        <f t="shared" si="57"/>
        <v>0.1838127905</v>
      </c>
      <c r="G128" s="18">
        <f t="shared" si="57"/>
        <v>1.577076192</v>
      </c>
      <c r="H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17">
        <f t="shared" ref="C129:G129" si="58">NORMINV(rand(),0, sqrt(2/5))</f>
        <v>-1.09414733</v>
      </c>
      <c r="D129" s="16">
        <f t="shared" si="58"/>
        <v>0.2875104203</v>
      </c>
      <c r="E129" s="16">
        <f t="shared" si="58"/>
        <v>-1.23596579</v>
      </c>
      <c r="F129" s="16">
        <f t="shared" si="58"/>
        <v>0.423649678</v>
      </c>
      <c r="G129" s="18">
        <f t="shared" si="58"/>
        <v>-1.139038947</v>
      </c>
      <c r="H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17">
        <f t="shared" ref="C130:G130" si="59">NORMINV(rand(),0, sqrt(2/5))</f>
        <v>0.6809278737</v>
      </c>
      <c r="D130" s="16">
        <f t="shared" si="59"/>
        <v>0.3923323627</v>
      </c>
      <c r="E130" s="16">
        <f t="shared" si="59"/>
        <v>-0.07455332839</v>
      </c>
      <c r="F130" s="16">
        <f t="shared" si="59"/>
        <v>0.9043917392</v>
      </c>
      <c r="G130" s="18">
        <f t="shared" si="59"/>
        <v>-0.6146215254</v>
      </c>
      <c r="H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19">
        <f t="shared" ref="C131:G131" si="60">NORMINV(rand(),0, sqrt(2/5))</f>
        <v>0.05394500713</v>
      </c>
      <c r="D131" s="20">
        <f t="shared" si="60"/>
        <v>-1.288161756</v>
      </c>
      <c r="E131" s="20">
        <f t="shared" si="60"/>
        <v>0.2330927253</v>
      </c>
      <c r="F131" s="20">
        <f t="shared" si="60"/>
        <v>-0.2407753213</v>
      </c>
      <c r="G131" s="21">
        <f t="shared" si="60"/>
        <v>-0.8761927733</v>
      </c>
      <c r="H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E132" s="4" t="s">
        <v>24</v>
      </c>
      <c r="H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23"/>
      <c r="C133" s="2"/>
      <c r="D133" s="2"/>
      <c r="E133" s="4" t="s">
        <v>24</v>
      </c>
      <c r="F133" s="2"/>
      <c r="G133" s="2"/>
      <c r="H133" s="2"/>
      <c r="I133" s="2"/>
      <c r="J133" s="2"/>
      <c r="K133" s="2"/>
      <c r="L133" s="2"/>
      <c r="S133" s="43"/>
      <c r="T133" s="43"/>
      <c r="U133" s="43"/>
      <c r="V133" s="43"/>
      <c r="W133" s="43"/>
      <c r="X133" s="2"/>
      <c r="Y133" s="2"/>
      <c r="Z133" s="2"/>
    </row>
    <row r="134">
      <c r="B134" s="23" t="s">
        <v>25</v>
      </c>
      <c r="C134" s="12">
        <f t="array" ref="C134:G143">MMULT(J134:N143,C127:G131)</f>
        <v>-1.229431543</v>
      </c>
      <c r="D134" s="13">
        <v>-0.6199073625383347</v>
      </c>
      <c r="E134" s="13">
        <v>-0.6287704226871003</v>
      </c>
      <c r="F134" s="13">
        <v>-0.2090603526349578</v>
      </c>
      <c r="G134" s="14">
        <v>-1.7145053900593954</v>
      </c>
      <c r="H134" s="2"/>
      <c r="I134" s="23" t="s">
        <v>26</v>
      </c>
      <c r="J134" s="39">
        <f t="shared" ref="J134:N134" si="61">NORMINV(rand(),0, sqrt(2/5))</f>
        <v>-0.305331568</v>
      </c>
      <c r="K134" s="40">
        <f t="shared" si="61"/>
        <v>-0.6817206747</v>
      </c>
      <c r="L134" s="40">
        <f t="shared" si="61"/>
        <v>0.5947145176</v>
      </c>
      <c r="M134" s="40">
        <f t="shared" si="61"/>
        <v>-0.4513981825</v>
      </c>
      <c r="N134" s="41">
        <f t="shared" si="61"/>
        <v>0.2414848561</v>
      </c>
      <c r="S134" s="43"/>
      <c r="T134" s="43"/>
      <c r="U134" s="43"/>
      <c r="V134" s="43"/>
      <c r="W134" s="43"/>
      <c r="X134" s="2"/>
      <c r="Y134" s="2"/>
      <c r="Z134" s="2"/>
    </row>
    <row r="135">
      <c r="C135" s="17">
        <v>-0.3152806686262066</v>
      </c>
      <c r="D135" s="16">
        <v>-0.27504128138845796</v>
      </c>
      <c r="E135" s="16">
        <v>0.5251907665651245</v>
      </c>
      <c r="F135" s="16">
        <v>-0.9297956002326996</v>
      </c>
      <c r="G135" s="18">
        <v>0.15324491606616236</v>
      </c>
      <c r="H135" s="2"/>
      <c r="I135" s="23" t="s">
        <v>27</v>
      </c>
      <c r="J135" s="42">
        <f t="shared" ref="J135:N135" si="62">NORMINV(rand(),0, sqrt(2/5))</f>
        <v>-0.1284526602</v>
      </c>
      <c r="K135" s="43">
        <f t="shared" si="62"/>
        <v>-0.6908117258</v>
      </c>
      <c r="L135" s="43">
        <f t="shared" si="62"/>
        <v>-0.4174656629</v>
      </c>
      <c r="M135" s="43">
        <f t="shared" si="62"/>
        <v>-0.8338631904</v>
      </c>
      <c r="N135" s="44">
        <f t="shared" si="62"/>
        <v>-0.3040372384</v>
      </c>
      <c r="S135" s="43"/>
      <c r="T135" s="43"/>
      <c r="U135" s="43"/>
      <c r="V135" s="43"/>
      <c r="W135" s="43"/>
      <c r="X135" s="2"/>
      <c r="Y135" s="2"/>
      <c r="Z135" s="2"/>
    </row>
    <row r="136">
      <c r="C136" s="17">
        <v>-1.3310098673481805</v>
      </c>
      <c r="D136" s="16">
        <v>-0.8267026581764838</v>
      </c>
      <c r="E136" s="16">
        <v>-0.5614647673324084</v>
      </c>
      <c r="F136" s="16">
        <v>-0.7343717522114541</v>
      </c>
      <c r="G136" s="18">
        <v>0.6551064236566648</v>
      </c>
      <c r="H136" s="2"/>
      <c r="I136" s="1"/>
      <c r="J136" s="42">
        <f t="shared" ref="J136:N136" si="63">NORMINV(rand(),0, sqrt(2/5))</f>
        <v>-0.07665207895</v>
      </c>
      <c r="K136" s="43">
        <f t="shared" si="63"/>
        <v>0.7083579498</v>
      </c>
      <c r="L136" s="43">
        <f t="shared" si="63"/>
        <v>0.6061982981</v>
      </c>
      <c r="M136" s="43">
        <f t="shared" si="63"/>
        <v>-1.135667811</v>
      </c>
      <c r="N136" s="44">
        <f t="shared" si="63"/>
        <v>0.5279251247</v>
      </c>
      <c r="S136" s="43"/>
      <c r="T136" s="43"/>
      <c r="U136" s="43"/>
      <c r="V136" s="43"/>
      <c r="W136" s="43"/>
      <c r="X136" s="2"/>
      <c r="Y136" s="2"/>
      <c r="Z136" s="2"/>
    </row>
    <row r="137">
      <c r="C137" s="17">
        <v>1.5982415108377657</v>
      </c>
      <c r="D137" s="16">
        <v>1.8871286571751646</v>
      </c>
      <c r="E137" s="16">
        <v>-0.19845138509508986</v>
      </c>
      <c r="F137" s="16">
        <v>1.2407751856193985</v>
      </c>
      <c r="G137" s="18">
        <v>1.3693137181795056</v>
      </c>
      <c r="I137" s="1"/>
      <c r="J137" s="42">
        <f t="shared" ref="J137:N137" si="64">NORMINV(rand(),0, sqrt(2/5))</f>
        <v>0.7946017161</v>
      </c>
      <c r="K137" s="43">
        <f t="shared" si="64"/>
        <v>1.021812169</v>
      </c>
      <c r="L137" s="43">
        <f t="shared" si="64"/>
        <v>-0.04940251551</v>
      </c>
      <c r="M137" s="43">
        <f t="shared" si="64"/>
        <v>1.412373178</v>
      </c>
      <c r="N137" s="44">
        <f t="shared" si="64"/>
        <v>-0.5674774124</v>
      </c>
      <c r="S137" s="43"/>
      <c r="T137" s="43"/>
      <c r="U137" s="43"/>
      <c r="V137" s="43"/>
      <c r="W137" s="43"/>
      <c r="X137" s="2"/>
      <c r="Y137" s="2"/>
      <c r="Z137" s="2"/>
    </row>
    <row r="138">
      <c r="C138" s="17">
        <v>-0.23496588887877204</v>
      </c>
      <c r="D138" s="16">
        <v>-0.045135814101482014</v>
      </c>
      <c r="E138" s="16">
        <v>-0.22826201892853398</v>
      </c>
      <c r="F138" s="16">
        <v>-0.32071913418342696</v>
      </c>
      <c r="G138" s="18">
        <v>-0.10989616574693911</v>
      </c>
      <c r="I138" s="1"/>
      <c r="J138" s="42">
        <f t="shared" ref="J138:N138" si="65">NORMINV(rand(),0, sqrt(2/5))</f>
        <v>0.3368874391</v>
      </c>
      <c r="K138" s="43">
        <f t="shared" si="65"/>
        <v>0.04412257407</v>
      </c>
      <c r="L138" s="43">
        <f t="shared" si="65"/>
        <v>0.2280173211</v>
      </c>
      <c r="M138" s="43">
        <f t="shared" si="65"/>
        <v>-0.2747190042</v>
      </c>
      <c r="N138" s="44">
        <f t="shared" si="65"/>
        <v>0.1361723336</v>
      </c>
      <c r="S138" s="43"/>
      <c r="T138" s="43"/>
      <c r="U138" s="43"/>
      <c r="V138" s="43"/>
      <c r="W138" s="43"/>
      <c r="X138" s="2"/>
      <c r="Y138" s="2"/>
      <c r="Z138" s="2"/>
    </row>
    <row r="139">
      <c r="C139" s="17">
        <v>-0.07772550952105206</v>
      </c>
      <c r="D139" s="16">
        <v>-0.7425428910380455</v>
      </c>
      <c r="E139" s="16">
        <v>0.03340351879383677</v>
      </c>
      <c r="F139" s="16">
        <v>1.016563287131927</v>
      </c>
      <c r="G139" s="18">
        <v>-0.6092303834838846</v>
      </c>
      <c r="H139" s="162" t="s">
        <v>28</v>
      </c>
      <c r="I139" s="162" t="s">
        <v>28</v>
      </c>
      <c r="J139" s="42">
        <f t="shared" ref="J139:N139" si="66">NORMINV(rand(),0, sqrt(2/5))</f>
        <v>-1.080210564</v>
      </c>
      <c r="K139" s="43">
        <f t="shared" si="66"/>
        <v>0.172202503</v>
      </c>
      <c r="L139" s="43">
        <f t="shared" si="66"/>
        <v>-0.001262459166</v>
      </c>
      <c r="M139" s="43">
        <f t="shared" si="66"/>
        <v>0.6880697689</v>
      </c>
      <c r="N139" s="44">
        <f t="shared" si="66"/>
        <v>0.4118833266</v>
      </c>
      <c r="S139" s="43"/>
      <c r="T139" s="43"/>
      <c r="U139" s="43"/>
      <c r="V139" s="43"/>
      <c r="W139" s="43"/>
      <c r="X139" s="2"/>
      <c r="Y139" s="2"/>
      <c r="Z139" s="2"/>
    </row>
    <row r="140">
      <c r="C140" s="17">
        <v>1.3313471208502918</v>
      </c>
      <c r="D140" s="16">
        <v>-2.0105336791295167</v>
      </c>
      <c r="E140" s="16">
        <v>1.3337463840720263</v>
      </c>
      <c r="F140" s="16">
        <v>-1.4154563720480398</v>
      </c>
      <c r="G140" s="18">
        <v>-0.6749609634374191</v>
      </c>
      <c r="I140" s="1"/>
      <c r="J140" s="42">
        <f t="shared" ref="J140:N140" si="67">NORMINV(rand(),0, sqrt(2/5))</f>
        <v>1.098318994</v>
      </c>
      <c r="K140" s="43">
        <f t="shared" si="67"/>
        <v>-0.1505343429</v>
      </c>
      <c r="L140" s="43">
        <f t="shared" si="67"/>
        <v>-0.7324297323</v>
      </c>
      <c r="M140" s="43">
        <f t="shared" si="67"/>
        <v>-0.2146756524</v>
      </c>
      <c r="N140" s="44">
        <f t="shared" si="67"/>
        <v>1.716369677</v>
      </c>
      <c r="S140" s="43"/>
      <c r="T140" s="43"/>
      <c r="U140" s="43"/>
      <c r="V140" s="43"/>
      <c r="W140" s="43"/>
      <c r="X140" s="2"/>
      <c r="Y140" s="2"/>
      <c r="Z140" s="2"/>
    </row>
    <row r="141">
      <c r="C141" s="17">
        <v>-1.3171395493531814</v>
      </c>
      <c r="D141" s="16">
        <v>0.528241496933615</v>
      </c>
      <c r="E141" s="16">
        <v>-1.6855869070394198</v>
      </c>
      <c r="F141" s="16">
        <v>1.779288327279052</v>
      </c>
      <c r="G141" s="18">
        <v>-0.7729699841183855</v>
      </c>
      <c r="I141" s="1"/>
      <c r="J141" s="42">
        <f t="shared" ref="J141:N141" si="68">NORMINV(rand(),0, sqrt(2/5))</f>
        <v>-0.9670346761</v>
      </c>
      <c r="K141" s="43">
        <f t="shared" si="68"/>
        <v>0.6921497233</v>
      </c>
      <c r="L141" s="43">
        <f t="shared" si="68"/>
        <v>1.27147461</v>
      </c>
      <c r="M141" s="43">
        <f t="shared" si="68"/>
        <v>0.735761221</v>
      </c>
      <c r="N141" s="44">
        <f t="shared" si="68"/>
        <v>-0.1416000793</v>
      </c>
      <c r="S141" s="43"/>
      <c r="T141" s="43"/>
      <c r="U141" s="43"/>
      <c r="V141" s="43"/>
      <c r="W141" s="43"/>
      <c r="X141" s="2"/>
      <c r="Y141" s="2"/>
      <c r="Z141" s="2"/>
    </row>
    <row r="142">
      <c r="C142" s="17">
        <v>-0.6727463563160215</v>
      </c>
      <c r="D142" s="16">
        <v>-0.015502889025166916</v>
      </c>
      <c r="E142" s="16">
        <v>-0.7086288797740665</v>
      </c>
      <c r="F142" s="16">
        <v>-0.20102830901147187</v>
      </c>
      <c r="G142" s="18">
        <v>-2.0776661606899043</v>
      </c>
      <c r="I142" s="1"/>
      <c r="J142" s="42">
        <f t="shared" ref="J142:N142" si="69">NORMINV(rand(),0, sqrt(2/5))</f>
        <v>0.4097942258</v>
      </c>
      <c r="K142" s="43">
        <f t="shared" si="69"/>
        <v>-0.8699235089</v>
      </c>
      <c r="L142" s="43">
        <f t="shared" si="69"/>
        <v>0.623818383</v>
      </c>
      <c r="M142" s="43">
        <f t="shared" si="69"/>
        <v>-0.1128074248</v>
      </c>
      <c r="N142" s="44">
        <f t="shared" si="69"/>
        <v>0.1162536849</v>
      </c>
      <c r="S142" s="43"/>
      <c r="T142" s="43"/>
      <c r="U142" s="43"/>
      <c r="V142" s="43"/>
      <c r="W142" s="43"/>
      <c r="X142" s="2"/>
      <c r="Y142" s="2"/>
      <c r="Z142" s="2"/>
    </row>
    <row r="143">
      <c r="C143" s="19">
        <v>0.8608661621251548</v>
      </c>
      <c r="D143" s="20">
        <v>1.9048477134588846</v>
      </c>
      <c r="E143" s="20">
        <v>-0.34735877737211607</v>
      </c>
      <c r="F143" s="20">
        <v>1.1396992006593738</v>
      </c>
      <c r="G143" s="21">
        <v>0.6061709991072264</v>
      </c>
      <c r="I143" s="1"/>
      <c r="J143" s="45">
        <f t="shared" ref="J143:N143" si="70">NORMINV(rand(),0, sqrt(2/5))</f>
        <v>0.3012870596</v>
      </c>
      <c r="K143" s="46">
        <f t="shared" si="70"/>
        <v>0.2566093086</v>
      </c>
      <c r="L143" s="46">
        <f t="shared" si="70"/>
        <v>0.02617013164</v>
      </c>
      <c r="M143" s="46">
        <f t="shared" si="70"/>
        <v>1.075558763</v>
      </c>
      <c r="N143" s="47">
        <f t="shared" si="70"/>
        <v>-0.9870988293</v>
      </c>
      <c r="X143" s="2"/>
      <c r="Y143" s="2"/>
      <c r="Z143" s="2"/>
    </row>
    <row r="144">
      <c r="E144" s="4" t="s">
        <v>24</v>
      </c>
      <c r="X144" s="2"/>
      <c r="Y144" s="2"/>
      <c r="Z144" s="2"/>
    </row>
    <row r="145">
      <c r="E145" s="4" t="s">
        <v>24</v>
      </c>
      <c r="X145" s="2"/>
      <c r="Y145" s="2"/>
      <c r="Z145" s="2"/>
    </row>
    <row r="146">
      <c r="B146" s="23" t="s">
        <v>29</v>
      </c>
      <c r="C146" s="12">
        <f t="shared" ref="C146:G146" si="71">Max(0,C134)</f>
        <v>0</v>
      </c>
      <c r="D146" s="13">
        <f t="shared" si="71"/>
        <v>0</v>
      </c>
      <c r="E146" s="13">
        <f t="shared" si="71"/>
        <v>0</v>
      </c>
      <c r="F146" s="13">
        <f t="shared" si="71"/>
        <v>0</v>
      </c>
      <c r="G146" s="14">
        <f t="shared" si="71"/>
        <v>0</v>
      </c>
      <c r="X146" s="2"/>
      <c r="Y146" s="2"/>
      <c r="Z146" s="2"/>
    </row>
    <row r="147">
      <c r="C147" s="17">
        <f t="shared" ref="C147:G147" si="72">Max(0,C135)</f>
        <v>0</v>
      </c>
      <c r="D147" s="16">
        <f t="shared" si="72"/>
        <v>0</v>
      </c>
      <c r="E147" s="16">
        <f t="shared" si="72"/>
        <v>0.5251907666</v>
      </c>
      <c r="F147" s="16">
        <f t="shared" si="72"/>
        <v>0</v>
      </c>
      <c r="G147" s="18">
        <f t="shared" si="72"/>
        <v>0.1532449161</v>
      </c>
      <c r="X147" s="2"/>
      <c r="Y147" s="2"/>
      <c r="Z147" s="2"/>
    </row>
    <row r="148">
      <c r="C148" s="17">
        <f t="shared" ref="C148:G148" si="73">Max(0,C136)</f>
        <v>0</v>
      </c>
      <c r="D148" s="16">
        <f t="shared" si="73"/>
        <v>0</v>
      </c>
      <c r="E148" s="16">
        <f t="shared" si="73"/>
        <v>0</v>
      </c>
      <c r="F148" s="16">
        <f t="shared" si="73"/>
        <v>0</v>
      </c>
      <c r="G148" s="18">
        <f t="shared" si="73"/>
        <v>0.6551064237</v>
      </c>
      <c r="X148" s="2"/>
      <c r="Y148" s="2"/>
      <c r="Z148" s="2"/>
    </row>
    <row r="149">
      <c r="C149" s="17">
        <f t="shared" ref="C149:G149" si="74">Max(0,C137)</f>
        <v>1.598241511</v>
      </c>
      <c r="D149" s="16">
        <f t="shared" si="74"/>
        <v>1.887128657</v>
      </c>
      <c r="E149" s="16">
        <f t="shared" si="74"/>
        <v>0</v>
      </c>
      <c r="F149" s="16">
        <f t="shared" si="74"/>
        <v>1.240775186</v>
      </c>
      <c r="G149" s="18">
        <f t="shared" si="74"/>
        <v>1.369313718</v>
      </c>
      <c r="X149" s="2"/>
      <c r="Y149" s="2"/>
      <c r="Z149" s="2"/>
    </row>
    <row r="150">
      <c r="C150" s="17">
        <f t="shared" ref="C150:G150" si="75">Max(0,C138)</f>
        <v>0</v>
      </c>
      <c r="D150" s="16">
        <f t="shared" si="75"/>
        <v>0</v>
      </c>
      <c r="E150" s="16">
        <f t="shared" si="75"/>
        <v>0</v>
      </c>
      <c r="F150" s="16">
        <f t="shared" si="75"/>
        <v>0</v>
      </c>
      <c r="G150" s="18">
        <f t="shared" si="75"/>
        <v>0</v>
      </c>
      <c r="X150" s="2"/>
      <c r="Y150" s="2"/>
      <c r="Z150" s="2"/>
    </row>
    <row r="151">
      <c r="C151" s="17">
        <f t="shared" ref="C151:G151" si="76">Max(0,C139)</f>
        <v>0</v>
      </c>
      <c r="D151" s="16">
        <f t="shared" si="76"/>
        <v>0</v>
      </c>
      <c r="E151" s="16">
        <f t="shared" si="76"/>
        <v>0.03340351879</v>
      </c>
      <c r="F151" s="16">
        <f t="shared" si="76"/>
        <v>1.016563287</v>
      </c>
      <c r="G151" s="18">
        <f t="shared" si="76"/>
        <v>0</v>
      </c>
      <c r="X151" s="2"/>
      <c r="Y151" s="2"/>
      <c r="Z151" s="2"/>
    </row>
    <row r="152">
      <c r="C152" s="17">
        <f t="shared" ref="C152:G152" si="77">Max(0,C140)</f>
        <v>1.331347121</v>
      </c>
      <c r="D152" s="16">
        <f t="shared" si="77"/>
        <v>0</v>
      </c>
      <c r="E152" s="16">
        <f t="shared" si="77"/>
        <v>1.333746384</v>
      </c>
      <c r="F152" s="16">
        <f t="shared" si="77"/>
        <v>0</v>
      </c>
      <c r="G152" s="18">
        <f t="shared" si="77"/>
        <v>0</v>
      </c>
      <c r="X152" s="2"/>
      <c r="Y152" s="2"/>
      <c r="Z152" s="2"/>
    </row>
    <row r="153">
      <c r="C153" s="17">
        <f t="shared" ref="C153:G153" si="78">Max(0,C141)</f>
        <v>0</v>
      </c>
      <c r="D153" s="16">
        <f t="shared" si="78"/>
        <v>0.5282414969</v>
      </c>
      <c r="E153" s="16">
        <f t="shared" si="78"/>
        <v>0</v>
      </c>
      <c r="F153" s="16">
        <f t="shared" si="78"/>
        <v>1.779288327</v>
      </c>
      <c r="G153" s="18">
        <f t="shared" si="78"/>
        <v>0</v>
      </c>
      <c r="X153" s="2"/>
      <c r="Y153" s="2"/>
      <c r="Z153" s="2"/>
    </row>
    <row r="154">
      <c r="C154" s="17">
        <f t="shared" ref="C154:G154" si="79">Max(0,C142)</f>
        <v>0</v>
      </c>
      <c r="D154" s="16">
        <f t="shared" si="79"/>
        <v>0</v>
      </c>
      <c r="E154" s="16">
        <f t="shared" si="79"/>
        <v>0</v>
      </c>
      <c r="F154" s="16">
        <f t="shared" si="79"/>
        <v>0</v>
      </c>
      <c r="G154" s="18">
        <f t="shared" si="79"/>
        <v>0</v>
      </c>
      <c r="X154" s="2"/>
      <c r="Y154" s="2"/>
      <c r="Z154" s="2"/>
    </row>
    <row r="155">
      <c r="C155" s="19">
        <f t="shared" ref="C155:G155" si="80">Max(0,C143)</f>
        <v>0.8608661621</v>
      </c>
      <c r="D155" s="20">
        <f t="shared" si="80"/>
        <v>1.904847713</v>
      </c>
      <c r="E155" s="20">
        <f t="shared" si="80"/>
        <v>0</v>
      </c>
      <c r="F155" s="20">
        <f t="shared" si="80"/>
        <v>1.139699201</v>
      </c>
      <c r="G155" s="21">
        <f t="shared" si="80"/>
        <v>0.6061709991</v>
      </c>
      <c r="X155" s="2"/>
      <c r="Y155" s="2"/>
      <c r="Z155" s="2"/>
    </row>
    <row r="156">
      <c r="E156" s="4" t="s">
        <v>24</v>
      </c>
      <c r="X156" s="2"/>
      <c r="Y156" s="2"/>
      <c r="Z156" s="2"/>
    </row>
    <row r="157">
      <c r="E157" s="4" t="s">
        <v>24</v>
      </c>
      <c r="X157" s="2"/>
      <c r="Y157" s="2"/>
      <c r="Z157" s="2"/>
    </row>
    <row r="158">
      <c r="B158" s="23" t="s">
        <v>25</v>
      </c>
      <c r="C158" s="12">
        <f t="array" ref="C158:G162">MMULT(J158:S162,C146:G155)</f>
        <v>1.893898083</v>
      </c>
      <c r="D158" s="13">
        <v>2.203389242647566</v>
      </c>
      <c r="E158" s="13">
        <v>-0.25740481040150176</v>
      </c>
      <c r="F158" s="13">
        <v>0.1601328021920394</v>
      </c>
      <c r="G158" s="14">
        <v>2.2628706050355927</v>
      </c>
      <c r="I158" s="23" t="s">
        <v>30</v>
      </c>
      <c r="J158" s="39">
        <f t="shared" ref="J158:S158" si="81">NORMINV(rand(),0, sqrt(2/5))</f>
        <v>0.765046007</v>
      </c>
      <c r="K158" s="40">
        <f t="shared" si="81"/>
        <v>0.004583921611</v>
      </c>
      <c r="L158" s="40">
        <f t="shared" si="81"/>
        <v>0.668623135</v>
      </c>
      <c r="M158" s="40">
        <f t="shared" si="81"/>
        <v>1.255298958</v>
      </c>
      <c r="N158" s="40">
        <f t="shared" si="81"/>
        <v>1.100897506</v>
      </c>
      <c r="O158" s="40">
        <f t="shared" si="81"/>
        <v>0.0750359524</v>
      </c>
      <c r="P158" s="40">
        <f t="shared" si="81"/>
        <v>-0.1966781029</v>
      </c>
      <c r="Q158" s="40">
        <f t="shared" si="81"/>
        <v>-0.9394644693</v>
      </c>
      <c r="R158" s="40">
        <f t="shared" si="81"/>
        <v>1.143302154</v>
      </c>
      <c r="S158" s="41">
        <f t="shared" si="81"/>
        <v>0.1736321079</v>
      </c>
      <c r="X158" s="2"/>
      <c r="Y158" s="2"/>
      <c r="Z158" s="2"/>
    </row>
    <row r="159">
      <c r="B159" s="23" t="s">
        <v>31</v>
      </c>
      <c r="C159" s="17">
        <v>-1.5517343341285135</v>
      </c>
      <c r="D159" s="16">
        <v>-3.024630836132836</v>
      </c>
      <c r="E159" s="16">
        <v>0.2928775995430196</v>
      </c>
      <c r="F159" s="16">
        <v>-2.535403929965844</v>
      </c>
      <c r="G159" s="18">
        <v>-1.0345537177578101</v>
      </c>
      <c r="H159" s="2"/>
      <c r="I159" s="23" t="s">
        <v>32</v>
      </c>
      <c r="J159" s="42">
        <f t="shared" ref="J159:S159" si="82">NORMINV(rand(),0, sqrt(2/5))</f>
        <v>-0.1904614251</v>
      </c>
      <c r="K159" s="43">
        <f t="shared" si="82"/>
        <v>0.1375767577</v>
      </c>
      <c r="L159" s="43">
        <f t="shared" si="82"/>
        <v>0.5325580812</v>
      </c>
      <c r="M159" s="43">
        <f t="shared" si="82"/>
        <v>-0.5897698018</v>
      </c>
      <c r="N159" s="43">
        <f t="shared" si="82"/>
        <v>-0.4043966519</v>
      </c>
      <c r="O159" s="43">
        <f t="shared" si="82"/>
        <v>-0.5514942565</v>
      </c>
      <c r="P159" s="43">
        <f t="shared" si="82"/>
        <v>0.1792285312</v>
      </c>
      <c r="Q159" s="43">
        <f t="shared" si="82"/>
        <v>-0.06781466034</v>
      </c>
      <c r="R159" s="43">
        <f t="shared" si="82"/>
        <v>-0.5890362553</v>
      </c>
      <c r="S159" s="44">
        <f t="shared" si="82"/>
        <v>-0.9847699693</v>
      </c>
      <c r="T159" s="2"/>
      <c r="U159" s="2"/>
      <c r="V159" s="2"/>
      <c r="W159" s="2"/>
      <c r="X159" s="2"/>
      <c r="Y159" s="2"/>
      <c r="Z159" s="2"/>
    </row>
    <row r="160">
      <c r="B160" s="1"/>
      <c r="C160" s="17">
        <v>-0.0564402613517625</v>
      </c>
      <c r="D160" s="16">
        <v>-0.528631842832313</v>
      </c>
      <c r="E160" s="16">
        <v>0.8655250357786268</v>
      </c>
      <c r="F160" s="16">
        <v>0.08018942239760331</v>
      </c>
      <c r="G160" s="18">
        <v>-1.16096899875987</v>
      </c>
      <c r="H160" s="2"/>
      <c r="I160" s="1"/>
      <c r="J160" s="42">
        <f t="shared" ref="J160:S160" si="83">NORMINV(rand(),0, sqrt(2/5))</f>
        <v>-0.5602290259</v>
      </c>
      <c r="K160" s="43">
        <f t="shared" si="83"/>
        <v>0.7272249286</v>
      </c>
      <c r="L160" s="43">
        <f t="shared" si="83"/>
        <v>-1.244697594</v>
      </c>
      <c r="M160" s="43">
        <f t="shared" si="83"/>
        <v>-0.3278772978</v>
      </c>
      <c r="N160" s="43">
        <f t="shared" si="83"/>
        <v>0.271053089</v>
      </c>
      <c r="O160" s="43">
        <f t="shared" si="83"/>
        <v>0.1116740008</v>
      </c>
      <c r="P160" s="43">
        <f t="shared" si="83"/>
        <v>0.3597857278</v>
      </c>
      <c r="Q160" s="43">
        <f t="shared" si="83"/>
        <v>0.2184003511</v>
      </c>
      <c r="R160" s="43">
        <f t="shared" si="83"/>
        <v>-0.7883921211</v>
      </c>
      <c r="S160" s="44">
        <f t="shared" si="83"/>
        <v>-0.01325739917</v>
      </c>
      <c r="T160" s="2"/>
      <c r="U160" s="2"/>
      <c r="V160" s="2"/>
      <c r="W160" s="2"/>
      <c r="X160" s="2"/>
      <c r="Y160" s="2"/>
      <c r="Z160" s="2"/>
    </row>
    <row r="161">
      <c r="B161" s="1"/>
      <c r="C161" s="17">
        <v>2.6896407191311487</v>
      </c>
      <c r="D161" s="16">
        <v>0.7906168088732798</v>
      </c>
      <c r="E161" s="16">
        <v>0.6029983244073143</v>
      </c>
      <c r="F161" s="16">
        <v>-1.664199856838736</v>
      </c>
      <c r="G161" s="18">
        <v>0.7971094959595086</v>
      </c>
      <c r="H161" s="162" t="s">
        <v>28</v>
      </c>
      <c r="I161" s="162" t="s">
        <v>28</v>
      </c>
      <c r="J161" s="42">
        <f t="shared" ref="J161:S161" si="84">NORMINV(rand(),0, sqrt(2/5))</f>
        <v>-0.6259528997</v>
      </c>
      <c r="K161" s="43">
        <f t="shared" si="84"/>
        <v>-1.451870165</v>
      </c>
      <c r="L161" s="43">
        <f t="shared" si="84"/>
        <v>-0.1964653437</v>
      </c>
      <c r="M161" s="43">
        <f t="shared" si="84"/>
        <v>0.9596239272</v>
      </c>
      <c r="N161" s="43">
        <f t="shared" si="84"/>
        <v>-0.2631224927</v>
      </c>
      <c r="O161" s="43">
        <f t="shared" si="84"/>
        <v>-0.8466082984</v>
      </c>
      <c r="P161" s="43">
        <f t="shared" si="84"/>
        <v>1.045016386</v>
      </c>
      <c r="Q161" s="43">
        <f t="shared" si="84"/>
        <v>-0.9456969438</v>
      </c>
      <c r="R161" s="43">
        <f t="shared" si="84"/>
        <v>0.7272275943</v>
      </c>
      <c r="S161" s="44">
        <f t="shared" si="84"/>
        <v>-0.2733870174</v>
      </c>
      <c r="T161" s="2"/>
      <c r="U161" s="2"/>
      <c r="V161" s="2"/>
      <c r="W161" s="2"/>
      <c r="X161" s="2"/>
      <c r="Y161" s="2"/>
      <c r="Z161" s="2"/>
    </row>
    <row r="162">
      <c r="B162" s="1"/>
      <c r="C162" s="19">
        <v>0.7867161801395304</v>
      </c>
      <c r="D162" s="20">
        <v>1.293158385399321</v>
      </c>
      <c r="E162" s="20">
        <v>0.38903175778889415</v>
      </c>
      <c r="F162" s="20">
        <v>2.118450221260342</v>
      </c>
      <c r="G162" s="21">
        <v>0.7040558766407163</v>
      </c>
      <c r="H162" s="2"/>
      <c r="I162" s="1"/>
      <c r="J162" s="45">
        <f t="shared" ref="J162:S162" si="85">NORMINV(rand(),0, sqrt(2/5))</f>
        <v>-0.7210091153</v>
      </c>
      <c r="K162" s="46">
        <f t="shared" si="85"/>
        <v>0.03146621377</v>
      </c>
      <c r="L162" s="46">
        <f t="shared" si="85"/>
        <v>0.5779258419</v>
      </c>
      <c r="M162" s="46">
        <f t="shared" si="85"/>
        <v>0.1810120375</v>
      </c>
      <c r="N162" s="46">
        <f t="shared" si="85"/>
        <v>0.5759597337</v>
      </c>
      <c r="O162" s="46">
        <f t="shared" si="85"/>
        <v>-0.6668616665</v>
      </c>
      <c r="P162" s="46">
        <f t="shared" si="85"/>
        <v>0.2959944438</v>
      </c>
      <c r="Q162" s="46">
        <f t="shared" si="85"/>
        <v>1.368493936</v>
      </c>
      <c r="R162" s="46">
        <f t="shared" si="85"/>
        <v>0.4919812118</v>
      </c>
      <c r="S162" s="47">
        <f t="shared" si="85"/>
        <v>0.1200463928</v>
      </c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4" t="s">
        <v>24</v>
      </c>
      <c r="F163" s="2"/>
      <c r="G163" s="2"/>
      <c r="H163" s="2"/>
      <c r="I163" s="1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4" t="s">
        <v>24</v>
      </c>
      <c r="F164" s="2"/>
      <c r="G164" s="2"/>
      <c r="H164" s="2"/>
      <c r="I164" s="1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23" t="s">
        <v>33</v>
      </c>
      <c r="C165" s="12">
        <f t="array" ref="C165:G169">C158:G162+C127:G131</f>
        <v>2.448349243</v>
      </c>
      <c r="D165" s="13">
        <v>2.6855544077357636</v>
      </c>
      <c r="E165" s="13">
        <v>-0.24985317219680842</v>
      </c>
      <c r="F165" s="13">
        <v>-0.26786877987258084</v>
      </c>
      <c r="G165" s="14">
        <v>2.35401316496007</v>
      </c>
      <c r="H165" s="2"/>
      <c r="I165" s="1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23"/>
      <c r="C166" s="17">
        <v>-1.3829084471293585</v>
      </c>
      <c r="D166" s="16">
        <v>-2.7965255848489785</v>
      </c>
      <c r="E166" s="16">
        <v>0.26553424641040174</v>
      </c>
      <c r="F166" s="16">
        <v>-2.35159113946563</v>
      </c>
      <c r="G166" s="18">
        <v>0.5425224739843122</v>
      </c>
      <c r="H166" s="2"/>
      <c r="I166" s="1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17">
        <v>-1.1505875910667902</v>
      </c>
      <c r="D167" s="16">
        <v>-0.24112142249254792</v>
      </c>
      <c r="E167" s="16">
        <v>-0.37044075405553056</v>
      </c>
      <c r="F167" s="16">
        <v>0.5038391003955544</v>
      </c>
      <c r="G167" s="18">
        <v>-2.300007945319437</v>
      </c>
      <c r="H167" s="2"/>
      <c r="I167" s="1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17">
        <v>3.3705685928117664</v>
      </c>
      <c r="D168" s="16">
        <v>1.1829491716058953</v>
      </c>
      <c r="E168" s="16">
        <v>0.5284449960191393</v>
      </c>
      <c r="F168" s="16">
        <v>-0.7598081176193243</v>
      </c>
      <c r="G168" s="18">
        <v>0.18248797051095678</v>
      </c>
      <c r="H168" s="2"/>
      <c r="I168" s="1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19">
        <v>0.8406611872699115</v>
      </c>
      <c r="D169" s="20">
        <v>0.0049966291537655305</v>
      </c>
      <c r="E169" s="20">
        <v>0.6221244830567803</v>
      </c>
      <c r="F169" s="20">
        <v>1.8776748999959947</v>
      </c>
      <c r="G169" s="21">
        <v>-0.17213689668268928</v>
      </c>
      <c r="H169" s="2"/>
      <c r="I169" s="1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1" t="s">
        <v>35</v>
      </c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6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6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23" t="s">
        <v>4</v>
      </c>
      <c r="C174" s="39">
        <f t="shared" ref="C174:E174" si="86">NORMINV(rand(),0, sqrt(2/5))</f>
        <v>-0.4642042207</v>
      </c>
      <c r="D174" s="40">
        <f t="shared" si="86"/>
        <v>0.2205109626</v>
      </c>
      <c r="E174" s="41">
        <f t="shared" si="86"/>
        <v>-0.05422261246</v>
      </c>
      <c r="F174" s="43"/>
      <c r="G174" s="43"/>
      <c r="W174" s="43"/>
      <c r="X174" s="43"/>
      <c r="Y174" s="43"/>
      <c r="Z174" s="43"/>
    </row>
    <row r="175">
      <c r="B175" s="1"/>
      <c r="C175" s="42">
        <f t="shared" ref="C175:E175" si="87">NORMINV(rand(),0, sqrt(2/5))</f>
        <v>0.3720822684</v>
      </c>
      <c r="D175" s="43">
        <f t="shared" si="87"/>
        <v>0.5592103592</v>
      </c>
      <c r="E175" s="44">
        <f t="shared" si="87"/>
        <v>-0.8263969594</v>
      </c>
      <c r="F175" s="43"/>
      <c r="G175" s="43"/>
      <c r="W175" s="43"/>
      <c r="X175" s="43"/>
      <c r="Y175" s="43"/>
      <c r="Z175" s="43"/>
    </row>
    <row r="176">
      <c r="B176" s="1"/>
      <c r="C176" s="45">
        <f t="shared" ref="C176:E176" si="88">NORMINV(rand(),0, sqrt(2/5))</f>
        <v>1.267461972</v>
      </c>
      <c r="D176" s="46">
        <f t="shared" si="88"/>
        <v>-0.01601776542</v>
      </c>
      <c r="E176" s="47">
        <f t="shared" si="88"/>
        <v>-0.6135308062</v>
      </c>
      <c r="F176" s="43"/>
      <c r="G176" s="43"/>
      <c r="W176" s="43"/>
      <c r="X176" s="43"/>
      <c r="Y176" s="43"/>
      <c r="Z176" s="43"/>
    </row>
    <row r="177">
      <c r="U177" s="43"/>
      <c r="V177" s="43"/>
      <c r="W177" s="43"/>
      <c r="X177" s="43"/>
      <c r="Y177" s="43"/>
      <c r="Z177" s="43"/>
    </row>
    <row r="178">
      <c r="C178" s="16"/>
      <c r="D178" s="16"/>
      <c r="E178" s="16"/>
      <c r="F178" s="16"/>
      <c r="G178" s="16"/>
      <c r="U178" s="43"/>
      <c r="V178" s="43"/>
      <c r="W178" s="43"/>
      <c r="X178" s="43"/>
      <c r="Y178" s="43"/>
      <c r="Z178" s="43"/>
    </row>
    <row r="179">
      <c r="B179" s="23" t="s">
        <v>36</v>
      </c>
      <c r="C179" s="12">
        <f t="array" ref="C179:E181">LET(inner, MMULT(I179:K184, C174:E176), MMULT(O179:T181, IF(inner &gt; 0, inner, 0)) + C174:E176)</f>
        <v>-2.340802272</v>
      </c>
      <c r="D179" s="13">
        <v>0.010124630660508671</v>
      </c>
      <c r="E179" s="14">
        <v>1.0014905048614458</v>
      </c>
      <c r="F179" s="16"/>
      <c r="G179" s="16"/>
      <c r="H179" s="23" t="s">
        <v>26</v>
      </c>
      <c r="I179" s="39">
        <f t="shared" ref="I179:K179" si="89">NORMINV(rand(),0, sqrt(2/5))</f>
        <v>0.894663311</v>
      </c>
      <c r="J179" s="40">
        <f t="shared" si="89"/>
        <v>-0.6182245131</v>
      </c>
      <c r="K179" s="41">
        <f t="shared" si="89"/>
        <v>-0.3437694739</v>
      </c>
      <c r="N179" s="23" t="s">
        <v>30</v>
      </c>
      <c r="O179" s="39">
        <f t="shared" ref="O179:T179" si="90">NORMINV(rand(),0, sqrt(2/5))</f>
        <v>-0.05064694154</v>
      </c>
      <c r="P179" s="40">
        <f t="shared" si="90"/>
        <v>-1.355952529</v>
      </c>
      <c r="Q179" s="40">
        <f t="shared" si="90"/>
        <v>-1.207998547</v>
      </c>
      <c r="R179" s="40">
        <f t="shared" si="90"/>
        <v>1.260802582</v>
      </c>
      <c r="S179" s="40">
        <f t="shared" si="90"/>
        <v>-0.2359581295</v>
      </c>
      <c r="T179" s="41">
        <f t="shared" si="90"/>
        <v>-0.86193598</v>
      </c>
      <c r="U179" s="2"/>
      <c r="V179" s="2"/>
      <c r="W179" s="2"/>
      <c r="X179" s="2"/>
      <c r="Y179" s="2"/>
      <c r="Z179" s="2"/>
    </row>
    <row r="180">
      <c r="B180" s="23" t="s">
        <v>37</v>
      </c>
      <c r="C180" s="17">
        <v>1.6979260257659443</v>
      </c>
      <c r="D180" s="16">
        <v>0.6954313005780424</v>
      </c>
      <c r="E180" s="18">
        <v>-0.5940705867836782</v>
      </c>
      <c r="F180" s="16"/>
      <c r="G180" s="16"/>
      <c r="H180" s="23" t="s">
        <v>27</v>
      </c>
      <c r="I180" s="42">
        <f t="shared" ref="I180:K180" si="91">NORMINV(rand(),0, sqrt(2/5))</f>
        <v>0.01909279082</v>
      </c>
      <c r="J180" s="43">
        <f t="shared" si="91"/>
        <v>0.2091197295</v>
      </c>
      <c r="K180" s="44">
        <f t="shared" si="91"/>
        <v>0.5687267366</v>
      </c>
      <c r="N180" s="23" t="s">
        <v>32</v>
      </c>
      <c r="O180" s="42">
        <f t="shared" ref="O180:T180" si="92">NORMINV(rand(),0, sqrt(2/5))</f>
        <v>0.893593417</v>
      </c>
      <c r="P180" s="43">
        <f t="shared" si="92"/>
        <v>0.8586478955</v>
      </c>
      <c r="Q180" s="43">
        <f t="shared" si="92"/>
        <v>1.855559383</v>
      </c>
      <c r="R180" s="43">
        <f t="shared" si="92"/>
        <v>0.06773316263</v>
      </c>
      <c r="S180" s="43">
        <f t="shared" si="92"/>
        <v>-0.3338558791</v>
      </c>
      <c r="T180" s="44">
        <f t="shared" si="92"/>
        <v>-0.3572799005</v>
      </c>
      <c r="U180" s="43"/>
      <c r="V180" s="43"/>
      <c r="W180" s="43"/>
      <c r="X180" s="2"/>
      <c r="Y180" s="2"/>
      <c r="Z180" s="2"/>
    </row>
    <row r="181">
      <c r="B181" s="165" t="s">
        <v>38</v>
      </c>
      <c r="C181" s="19">
        <v>0.9101093000944832</v>
      </c>
      <c r="D181" s="20">
        <v>-0.061707435777579846</v>
      </c>
      <c r="E181" s="21">
        <v>-1.7944892123154896</v>
      </c>
      <c r="F181" s="16"/>
      <c r="G181" s="16"/>
      <c r="H181" s="1"/>
      <c r="I181" s="42">
        <f t="shared" ref="I181:K181" si="93">NORMINV(rand(),0, sqrt(2/5))</f>
        <v>-0.2870642245</v>
      </c>
      <c r="J181" s="43">
        <f t="shared" si="93"/>
        <v>0.1669565239</v>
      </c>
      <c r="K181" s="44">
        <f t="shared" si="93"/>
        <v>0.1745495864</v>
      </c>
      <c r="N181" s="1"/>
      <c r="O181" s="45">
        <f t="shared" ref="O181:T181" si="94">NORMINV(rand(),0, sqrt(2/5))</f>
        <v>0.4408141016</v>
      </c>
      <c r="P181" s="46">
        <f t="shared" si="94"/>
        <v>-0.3100513052</v>
      </c>
      <c r="Q181" s="46">
        <f t="shared" si="94"/>
        <v>0.1846607847</v>
      </c>
      <c r="R181" s="46">
        <f t="shared" si="94"/>
        <v>-0.3332008884</v>
      </c>
      <c r="S181" s="46">
        <f t="shared" si="94"/>
        <v>-0.8307050883</v>
      </c>
      <c r="T181" s="47">
        <f t="shared" si="94"/>
        <v>-0.5398487567</v>
      </c>
      <c r="U181" s="43"/>
      <c r="V181" s="43"/>
      <c r="W181" s="43"/>
      <c r="X181" s="2"/>
      <c r="Y181" s="2"/>
      <c r="Z181" s="2"/>
    </row>
    <row r="182">
      <c r="F182" s="16"/>
      <c r="G182" s="16"/>
      <c r="H182" s="1"/>
      <c r="I182" s="42">
        <f t="shared" ref="I182:K182" si="95">NORMINV(rand(),0, sqrt(2/5))</f>
        <v>0.6557798205</v>
      </c>
      <c r="J182" s="43">
        <f t="shared" si="95"/>
        <v>-1.404048575</v>
      </c>
      <c r="K182" s="44">
        <f t="shared" si="95"/>
        <v>0.01799541946</v>
      </c>
      <c r="M182" s="43"/>
      <c r="N182" s="43"/>
      <c r="O182" s="2"/>
      <c r="P182" s="162"/>
      <c r="Q182" s="43"/>
      <c r="R182" s="43"/>
      <c r="S182" s="43"/>
      <c r="T182" s="43"/>
      <c r="U182" s="43"/>
      <c r="V182" s="43"/>
      <c r="W182" s="43"/>
      <c r="X182" s="2"/>
      <c r="Y182" s="2"/>
      <c r="Z182" s="2"/>
    </row>
    <row r="183">
      <c r="F183" s="16"/>
      <c r="G183" s="16"/>
      <c r="H183" s="1"/>
      <c r="I183" s="42">
        <f t="shared" ref="I183:K183" si="96">NORMINV(rand(),0, sqrt(2/5))</f>
        <v>-0.3177399705</v>
      </c>
      <c r="J183" s="43">
        <f t="shared" si="96"/>
        <v>-1.532934517</v>
      </c>
      <c r="K183" s="44">
        <f t="shared" si="96"/>
        <v>-0.07850832893</v>
      </c>
      <c r="M183" s="43"/>
      <c r="N183" s="43"/>
      <c r="O183" s="2"/>
      <c r="P183" s="1"/>
      <c r="Q183" s="43"/>
      <c r="R183" s="43"/>
      <c r="S183" s="43"/>
      <c r="T183" s="43"/>
      <c r="U183" s="43"/>
      <c r="V183" s="43"/>
      <c r="W183" s="43"/>
      <c r="X183" s="2"/>
      <c r="Y183" s="2"/>
      <c r="Z183" s="2"/>
    </row>
    <row r="184">
      <c r="F184" s="16"/>
      <c r="G184" s="16"/>
      <c r="H184" s="162"/>
      <c r="I184" s="45">
        <f t="shared" ref="I184:K184" si="97">NORMINV(rand(),0, sqrt(2/5))</f>
        <v>0.420999987</v>
      </c>
      <c r="J184" s="46">
        <f t="shared" si="97"/>
        <v>-0.09987253263</v>
      </c>
      <c r="K184" s="47">
        <f t="shared" si="97"/>
        <v>0.4603287401</v>
      </c>
      <c r="M184" s="43"/>
      <c r="N184" s="43"/>
      <c r="O184" s="2"/>
      <c r="P184" s="2"/>
      <c r="Q184" s="2"/>
      <c r="R184" s="2"/>
      <c r="S184" s="2"/>
      <c r="T184" s="2"/>
      <c r="U184" s="43"/>
      <c r="V184" s="43"/>
      <c r="W184" s="43"/>
      <c r="X184" s="2"/>
      <c r="Y184" s="2"/>
      <c r="Z184" s="2"/>
    </row>
    <row r="185">
      <c r="U185" s="43"/>
      <c r="V185" s="43"/>
      <c r="W185" s="43"/>
      <c r="X185" s="43"/>
      <c r="Y185" s="43"/>
      <c r="Z185" s="43"/>
    </row>
    <row r="186">
      <c r="A186" s="151" t="s">
        <v>42</v>
      </c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23" t="s">
        <v>4</v>
      </c>
      <c r="C188" s="39">
        <f t="shared" ref="C188:E188" si="98">NORMINV(rand(),0, sqrt(2/5))</f>
        <v>-0.4932226359</v>
      </c>
      <c r="D188" s="40">
        <f t="shared" si="98"/>
        <v>-0.06816923949</v>
      </c>
      <c r="E188" s="41">
        <f t="shared" si="98"/>
        <v>0.1744089894</v>
      </c>
      <c r="F188" s="43"/>
      <c r="G188" s="43"/>
      <c r="U188" s="2"/>
      <c r="V188" s="2"/>
      <c r="W188" s="2"/>
      <c r="X188" s="2"/>
      <c r="Y188" s="2"/>
      <c r="Z188" s="2"/>
    </row>
    <row r="189">
      <c r="B189" s="1"/>
      <c r="C189" s="42">
        <f t="shared" ref="C189:E189" si="99">NORMINV(rand(),0, sqrt(2/5))</f>
        <v>-0.2533416101</v>
      </c>
      <c r="D189" s="43">
        <f t="shared" si="99"/>
        <v>-0.02440519766</v>
      </c>
      <c r="E189" s="44">
        <f t="shared" si="99"/>
        <v>0.3974930984</v>
      </c>
      <c r="F189" s="43"/>
      <c r="G189" s="43"/>
      <c r="U189" s="2"/>
      <c r="V189" s="2"/>
      <c r="W189" s="2"/>
      <c r="X189" s="2"/>
      <c r="Y189" s="2"/>
      <c r="Z189" s="2"/>
    </row>
    <row r="190">
      <c r="B190" s="1"/>
      <c r="C190" s="45">
        <f t="shared" ref="C190:E190" si="100">NORMINV(rand(),0, sqrt(2/5))</f>
        <v>0.6114457632</v>
      </c>
      <c r="D190" s="46">
        <f t="shared" si="100"/>
        <v>-0.8196691113</v>
      </c>
      <c r="E190" s="47">
        <f t="shared" si="100"/>
        <v>-0.7397803232</v>
      </c>
      <c r="F190" s="43"/>
      <c r="G190" s="43"/>
      <c r="W190" s="43"/>
      <c r="X190" s="43"/>
      <c r="Y190" s="43"/>
      <c r="Z190" s="43"/>
    </row>
    <row r="191">
      <c r="D191" s="4" t="s">
        <v>24</v>
      </c>
      <c r="W191" s="43"/>
      <c r="X191" s="43"/>
      <c r="Y191" s="43"/>
      <c r="Z191" s="43"/>
    </row>
    <row r="192">
      <c r="D192" s="4" t="s">
        <v>24</v>
      </c>
      <c r="W192" s="43"/>
      <c r="X192" s="43"/>
      <c r="Y192" s="43"/>
      <c r="Z192" s="43"/>
    </row>
    <row r="193">
      <c r="B193" s="23" t="s">
        <v>40</v>
      </c>
      <c r="C193" s="12">
        <f t="array" ref="C193:E195">LET(x,C188:E190,rms,SQRT(MMULT(x^2,SEQUENCE(3,1,1/3,0))),x/rms)</f>
        <v>-1.619274256</v>
      </c>
      <c r="D193" s="13">
        <v>-0.22380297768124424</v>
      </c>
      <c r="E193" s="14">
        <v>0.5725933198386391</v>
      </c>
      <c r="W193" s="43"/>
      <c r="X193" s="43"/>
      <c r="Y193" s="43"/>
      <c r="Z193" s="43"/>
    </row>
    <row r="194">
      <c r="C194" s="17">
        <v>-0.929673953987244</v>
      </c>
      <c r="D194" s="16">
        <v>-0.08955842903071373</v>
      </c>
      <c r="E194" s="18">
        <v>1.4586588453326823</v>
      </c>
      <c r="W194" s="43"/>
      <c r="X194" s="43"/>
      <c r="Y194" s="43"/>
      <c r="Z194" s="43"/>
    </row>
    <row r="195">
      <c r="C195" s="19">
        <v>0.8390945710977055</v>
      </c>
      <c r="D195" s="20">
        <v>-1.12484204298483</v>
      </c>
      <c r="E195" s="21">
        <v>-1.015209672475628</v>
      </c>
      <c r="W195" s="43"/>
      <c r="X195" s="43"/>
      <c r="Y195" s="43"/>
      <c r="Z195" s="43"/>
    </row>
    <row r="196">
      <c r="D196" s="4" t="s">
        <v>24</v>
      </c>
      <c r="W196" s="43"/>
      <c r="X196" s="43"/>
      <c r="Y196" s="43"/>
      <c r="Z196" s="43"/>
    </row>
    <row r="197">
      <c r="C197" s="16"/>
      <c r="D197" s="4" t="s">
        <v>24</v>
      </c>
      <c r="E197" s="16"/>
      <c r="F197" s="16"/>
      <c r="G197" s="16"/>
      <c r="W197" s="43"/>
      <c r="X197" s="43"/>
      <c r="Y197" s="43"/>
      <c r="Z197" s="43"/>
    </row>
    <row r="198">
      <c r="B198" s="23" t="s">
        <v>44</v>
      </c>
      <c r="C198" s="12">
        <f t="array" ref="C198:E200">MMULT(O198:T200 ,MMULT(I198:K203,C188:E190))+C188:E190</f>
        <v>1.040716399</v>
      </c>
      <c r="D198" s="13">
        <v>0.13536160065453867</v>
      </c>
      <c r="E198" s="14">
        <v>-1.4643965114172246</v>
      </c>
      <c r="F198" s="16"/>
      <c r="G198" s="16"/>
      <c r="H198" s="23" t="s">
        <v>26</v>
      </c>
      <c r="I198" s="39">
        <f t="shared" ref="I198:K198" si="101">NORMINV(rand(),0, sqrt(2/5))</f>
        <v>0.8910355004</v>
      </c>
      <c r="J198" s="40">
        <f t="shared" si="101"/>
        <v>1.166837052</v>
      </c>
      <c r="K198" s="41">
        <f t="shared" si="101"/>
        <v>-0.02347718111</v>
      </c>
      <c r="N198" s="23" t="s">
        <v>30</v>
      </c>
      <c r="O198" s="39">
        <f t="shared" ref="O198:T198" si="102">NORMINV(rand(),0, sqrt(2/5))</f>
        <v>-1.099249214</v>
      </c>
      <c r="P198" s="40">
        <f t="shared" si="102"/>
        <v>0.4246904643</v>
      </c>
      <c r="Q198" s="40">
        <f t="shared" si="102"/>
        <v>-0.6938323124</v>
      </c>
      <c r="R198" s="40">
        <f t="shared" si="102"/>
        <v>0.967424735</v>
      </c>
      <c r="S198" s="40">
        <f t="shared" si="102"/>
        <v>0.4366379223</v>
      </c>
      <c r="T198" s="41">
        <f t="shared" si="102"/>
        <v>0.386111392</v>
      </c>
      <c r="U198" s="43"/>
      <c r="V198" s="43"/>
      <c r="W198" s="43"/>
      <c r="X198" s="43"/>
      <c r="Y198" s="43"/>
      <c r="Z198" s="43"/>
    </row>
    <row r="199">
      <c r="B199" s="23" t="s">
        <v>45</v>
      </c>
      <c r="C199" s="17">
        <v>-1.081629741612146</v>
      </c>
      <c r="D199" s="16">
        <v>0.7966495671058511</v>
      </c>
      <c r="E199" s="18">
        <v>1.3986379236163837</v>
      </c>
      <c r="F199" s="16"/>
      <c r="G199" s="16"/>
      <c r="H199" s="23" t="s">
        <v>27</v>
      </c>
      <c r="I199" s="42">
        <f t="shared" ref="I199:K199" si="103">NORMINV(rand(),0, sqrt(2/5))</f>
        <v>-0.1111778128</v>
      </c>
      <c r="J199" s="43">
        <f t="shared" si="103"/>
        <v>0.4352443466</v>
      </c>
      <c r="K199" s="44">
        <f t="shared" si="103"/>
        <v>0.6733790997</v>
      </c>
      <c r="N199" s="23" t="s">
        <v>32</v>
      </c>
      <c r="O199" s="42">
        <f t="shared" ref="O199:T199" si="104">NORMINV(rand(),0, sqrt(2/5))</f>
        <v>-0.3318877561</v>
      </c>
      <c r="P199" s="43">
        <f t="shared" si="104"/>
        <v>-0.9961322798</v>
      </c>
      <c r="Q199" s="43">
        <f t="shared" si="104"/>
        <v>1.737654551</v>
      </c>
      <c r="R199" s="43">
        <f t="shared" si="104"/>
        <v>0.1816699074</v>
      </c>
      <c r="S199" s="43">
        <f t="shared" si="104"/>
        <v>-0.490395162</v>
      </c>
      <c r="T199" s="44">
        <f t="shared" si="104"/>
        <v>-0.2743818203</v>
      </c>
      <c r="U199" s="43"/>
      <c r="V199" s="43"/>
      <c r="W199" s="43"/>
      <c r="X199" s="43"/>
      <c r="Y199" s="43"/>
      <c r="Z199" s="43"/>
    </row>
    <row r="200">
      <c r="B200" s="165" t="s">
        <v>38</v>
      </c>
      <c r="C200" s="19">
        <v>0.14941335403482486</v>
      </c>
      <c r="D200" s="20">
        <v>-1.672124554162823</v>
      </c>
      <c r="E200" s="21">
        <v>-0.004182417517217818</v>
      </c>
      <c r="F200" s="16"/>
      <c r="G200" s="16"/>
      <c r="H200" s="1"/>
      <c r="I200" s="42">
        <f t="shared" ref="I200:K200" si="105">NORMINV(rand(),0, sqrt(2/5))</f>
        <v>0.1099982861</v>
      </c>
      <c r="J200" s="43">
        <f t="shared" si="105"/>
        <v>0.441500431</v>
      </c>
      <c r="K200" s="44">
        <f t="shared" si="105"/>
        <v>-0.2155194766</v>
      </c>
      <c r="N200" s="1"/>
      <c r="O200" s="45">
        <f t="shared" ref="O200:T200" si="106">NORMINV(rand(),0, sqrt(2/5))</f>
        <v>-0.1009245706</v>
      </c>
      <c r="P200" s="46">
        <f t="shared" si="106"/>
        <v>1.08352236</v>
      </c>
      <c r="Q200" s="46">
        <f t="shared" si="106"/>
        <v>0.627317427</v>
      </c>
      <c r="R200" s="46">
        <f t="shared" si="106"/>
        <v>-0.6731192437</v>
      </c>
      <c r="S200" s="46">
        <f t="shared" si="106"/>
        <v>-1.000321384</v>
      </c>
      <c r="T200" s="47">
        <f t="shared" si="106"/>
        <v>0.314417014</v>
      </c>
      <c r="U200" s="2"/>
      <c r="V200" s="2"/>
      <c r="W200" s="2"/>
      <c r="X200" s="2"/>
      <c r="Y200" s="2"/>
      <c r="Z200" s="2"/>
    </row>
    <row r="201">
      <c r="F201" s="16"/>
      <c r="G201" s="16"/>
      <c r="H201" s="1"/>
      <c r="I201" s="42">
        <f t="shared" ref="I201:K201" si="107">NORMINV(rand(),0, sqrt(2/5))</f>
        <v>-0.09542115439</v>
      </c>
      <c r="J201" s="43">
        <f t="shared" si="107"/>
        <v>-1.481819677</v>
      </c>
      <c r="K201" s="44">
        <f t="shared" si="107"/>
        <v>-0.4114124593</v>
      </c>
      <c r="M201" s="43"/>
      <c r="N201" s="43"/>
      <c r="O201" s="2"/>
      <c r="P201" s="162"/>
      <c r="Q201" s="43"/>
      <c r="R201" s="43"/>
      <c r="S201" s="43"/>
      <c r="T201" s="43"/>
      <c r="U201" s="43"/>
      <c r="V201" s="43"/>
      <c r="W201" s="43"/>
      <c r="X201" s="2"/>
      <c r="Y201" s="2"/>
      <c r="Z201" s="2"/>
    </row>
    <row r="202">
      <c r="F202" s="16"/>
      <c r="G202" s="16"/>
      <c r="H202" s="1"/>
      <c r="I202" s="42">
        <f t="shared" ref="I202:K202" si="108">NORMINV(rand(),0, sqrt(2/5))</f>
        <v>-0.348978842</v>
      </c>
      <c r="J202" s="43">
        <f t="shared" si="108"/>
        <v>-1.781735727</v>
      </c>
      <c r="K202" s="44">
        <f t="shared" si="108"/>
        <v>-0.08624227847</v>
      </c>
      <c r="M202" s="43"/>
      <c r="N202" s="43"/>
      <c r="O202" s="2"/>
      <c r="P202" s="1"/>
      <c r="Q202" s="43"/>
      <c r="R202" s="43"/>
      <c r="S202" s="43"/>
      <c r="T202" s="43"/>
      <c r="U202" s="43"/>
      <c r="V202" s="43"/>
      <c r="W202" s="43"/>
      <c r="X202" s="2"/>
      <c r="Y202" s="2"/>
      <c r="Z202" s="2"/>
    </row>
    <row r="203">
      <c r="F203" s="16"/>
      <c r="G203" s="16"/>
      <c r="H203" s="162"/>
      <c r="I203" s="45">
        <f t="shared" ref="I203:K203" si="109">NORMINV(rand(),0, sqrt(2/5))</f>
        <v>0.1411967439</v>
      </c>
      <c r="J203" s="46">
        <f t="shared" si="109"/>
        <v>-0.003443897614</v>
      </c>
      <c r="K203" s="47">
        <f t="shared" si="109"/>
        <v>-0.1520739913</v>
      </c>
      <c r="M203" s="43"/>
      <c r="N203" s="43"/>
      <c r="O203" s="2"/>
      <c r="P203" s="2"/>
      <c r="Q203" s="2"/>
      <c r="R203" s="2"/>
      <c r="S203" s="2"/>
      <c r="T203" s="2"/>
      <c r="U203" s="43"/>
      <c r="V203" s="43"/>
      <c r="W203" s="43"/>
      <c r="X203" s="2"/>
      <c r="Y203" s="2"/>
      <c r="Z203" s="2"/>
    </row>
    <row r="204">
      <c r="F204" s="16"/>
      <c r="G204" s="16"/>
      <c r="H204" s="1"/>
      <c r="I204" s="43"/>
      <c r="J204" s="43"/>
      <c r="K204" s="43"/>
      <c r="M204" s="43"/>
      <c r="N204" s="43"/>
      <c r="O204" s="2"/>
      <c r="P204" s="1"/>
      <c r="Q204" s="43"/>
      <c r="R204" s="43"/>
      <c r="S204" s="43"/>
      <c r="T204" s="43"/>
      <c r="U204" s="43"/>
      <c r="V204" s="43"/>
      <c r="W204" s="43"/>
      <c r="X204" s="2"/>
      <c r="Y204" s="2"/>
      <c r="Z204" s="2"/>
    </row>
    <row r="205">
      <c r="A205" s="151" t="s">
        <v>39</v>
      </c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23" t="s">
        <v>4</v>
      </c>
      <c r="C207" s="39">
        <f t="shared" ref="C207:E207" si="110">NORMINV(rand(),0, sqrt(2/5))</f>
        <v>-1.299975875</v>
      </c>
      <c r="D207" s="40">
        <f t="shared" si="110"/>
        <v>-0.775967251</v>
      </c>
      <c r="E207" s="41">
        <f t="shared" si="110"/>
        <v>0.3017461712</v>
      </c>
      <c r="F207" s="43"/>
      <c r="G207" s="43"/>
      <c r="U207" s="2"/>
      <c r="V207" s="2"/>
      <c r="W207" s="2"/>
      <c r="X207" s="2"/>
      <c r="Y207" s="2"/>
      <c r="Z207" s="2"/>
    </row>
    <row r="208">
      <c r="B208" s="1"/>
      <c r="C208" s="42">
        <f t="shared" ref="C208:E208" si="111">NORMINV(rand(),0, sqrt(2/5))</f>
        <v>0.3884928634</v>
      </c>
      <c r="D208" s="43">
        <f t="shared" si="111"/>
        <v>-0.7524649113</v>
      </c>
      <c r="E208" s="44">
        <f t="shared" si="111"/>
        <v>-0.3587563439</v>
      </c>
      <c r="F208" s="43"/>
      <c r="G208" s="43"/>
      <c r="U208" s="2"/>
      <c r="V208" s="2"/>
      <c r="W208" s="2"/>
      <c r="X208" s="2"/>
      <c r="Y208" s="2"/>
      <c r="Z208" s="2"/>
    </row>
    <row r="209">
      <c r="B209" s="1"/>
      <c r="C209" s="45">
        <f t="shared" ref="C209:E209" si="112">NORMINV(rand(),0, sqrt(2/5))</f>
        <v>-1.097561854</v>
      </c>
      <c r="D209" s="46">
        <f t="shared" si="112"/>
        <v>0.6991536028</v>
      </c>
      <c r="E209" s="47">
        <f t="shared" si="112"/>
        <v>1.147638739</v>
      </c>
      <c r="F209" s="43"/>
      <c r="G209" s="43"/>
      <c r="W209" s="43"/>
      <c r="X209" s="43"/>
      <c r="Y209" s="43"/>
      <c r="Z209" s="43"/>
    </row>
    <row r="210">
      <c r="D210" s="4" t="s">
        <v>24</v>
      </c>
      <c r="W210" s="43"/>
      <c r="X210" s="43"/>
      <c r="Y210" s="43"/>
      <c r="Z210" s="43"/>
    </row>
    <row r="211">
      <c r="C211" s="16"/>
      <c r="D211" s="4" t="s">
        <v>24</v>
      </c>
      <c r="E211" s="16"/>
      <c r="F211" s="16"/>
      <c r="G211" s="16"/>
      <c r="W211" s="43"/>
      <c r="X211" s="43"/>
      <c r="Y211" s="43"/>
      <c r="Z211" s="43"/>
    </row>
    <row r="212">
      <c r="B212" s="23" t="s">
        <v>44</v>
      </c>
      <c r="C212" s="12">
        <f t="array" ref="C212:E214">MMULT(O212:T214 ,MMULT(I212:K217,C207:E209))+C207:E209</f>
        <v>-3.276392767</v>
      </c>
      <c r="D212" s="13">
        <v>-1.060590367784087</v>
      </c>
      <c r="E212" s="14">
        <v>1.4125970741649405</v>
      </c>
      <c r="F212" s="16"/>
      <c r="G212" s="16"/>
      <c r="H212" s="23" t="s">
        <v>26</v>
      </c>
      <c r="I212" s="39">
        <f t="shared" ref="I212:K212" si="113">NORMINV(rand(),0, sqrt(2/5))</f>
        <v>0.2325457224</v>
      </c>
      <c r="J212" s="40">
        <f t="shared" si="113"/>
        <v>-1.342381307</v>
      </c>
      <c r="K212" s="41">
        <f t="shared" si="113"/>
        <v>-0.1791092514</v>
      </c>
      <c r="N212" s="23" t="s">
        <v>30</v>
      </c>
      <c r="O212" s="39">
        <f t="shared" ref="O212:T212" si="114">NORMINV(rand(),0, sqrt(2/5))</f>
        <v>0.1516110549</v>
      </c>
      <c r="P212" s="40">
        <f t="shared" si="114"/>
        <v>0.2118393538</v>
      </c>
      <c r="Q212" s="40">
        <f t="shared" si="114"/>
        <v>-0.4846503382</v>
      </c>
      <c r="R212" s="40">
        <f t="shared" si="114"/>
        <v>0.22818064</v>
      </c>
      <c r="S212" s="40">
        <f t="shared" si="114"/>
        <v>-1.227464206</v>
      </c>
      <c r="T212" s="41">
        <f t="shared" si="114"/>
        <v>0.1881909468</v>
      </c>
      <c r="U212" s="43"/>
      <c r="V212" s="43"/>
      <c r="W212" s="43"/>
      <c r="X212" s="43"/>
      <c r="Y212" s="43"/>
      <c r="Z212" s="43"/>
    </row>
    <row r="213">
      <c r="B213" s="23" t="s">
        <v>45</v>
      </c>
      <c r="C213" s="17">
        <v>1.008103102610763</v>
      </c>
      <c r="D213" s="16">
        <v>-0.6085465071397358</v>
      </c>
      <c r="E213" s="18">
        <v>-0.6467344315374242</v>
      </c>
      <c r="F213" s="16"/>
      <c r="G213" s="16"/>
      <c r="H213" s="23" t="s">
        <v>27</v>
      </c>
      <c r="I213" s="42">
        <f t="shared" ref="I213:K213" si="115">NORMINV(rand(),0, sqrt(2/5))</f>
        <v>-0.5484301524</v>
      </c>
      <c r="J213" s="43">
        <f t="shared" si="115"/>
        <v>0.8498175505</v>
      </c>
      <c r="K213" s="44">
        <f t="shared" si="115"/>
        <v>-0.7434068715</v>
      </c>
      <c r="N213" s="23" t="s">
        <v>32</v>
      </c>
      <c r="O213" s="42">
        <f t="shared" ref="O213:T213" si="116">NORMINV(rand(),0, sqrt(2/5))</f>
        <v>0.1100505506</v>
      </c>
      <c r="P213" s="43">
        <f t="shared" si="116"/>
        <v>1.146169334</v>
      </c>
      <c r="Q213" s="43">
        <f t="shared" si="116"/>
        <v>-0.1695697192</v>
      </c>
      <c r="R213" s="43">
        <f t="shared" si="116"/>
        <v>0.7293987543</v>
      </c>
      <c r="S213" s="43">
        <f t="shared" si="116"/>
        <v>-0.1710590673</v>
      </c>
      <c r="T213" s="44">
        <f t="shared" si="116"/>
        <v>-0.7954862575</v>
      </c>
      <c r="U213" s="43"/>
      <c r="V213" s="43"/>
      <c r="W213" s="43"/>
      <c r="X213" s="43"/>
      <c r="Y213" s="43"/>
      <c r="Z213" s="43"/>
    </row>
    <row r="214">
      <c r="B214" s="165" t="s">
        <v>38</v>
      </c>
      <c r="C214" s="19">
        <v>-1.2353501512254161</v>
      </c>
      <c r="D214" s="20">
        <v>0.7974686511707159</v>
      </c>
      <c r="E214" s="21">
        <v>1.073185304198224</v>
      </c>
      <c r="F214" s="16"/>
      <c r="G214" s="16"/>
      <c r="H214" s="1"/>
      <c r="I214" s="42">
        <f t="shared" ref="I214:K214" si="117">NORMINV(rand(),0, sqrt(2/5))</f>
        <v>0.1326264968</v>
      </c>
      <c r="J214" s="43">
        <f t="shared" si="117"/>
        <v>0.2029392692</v>
      </c>
      <c r="K214" s="44">
        <f t="shared" si="117"/>
        <v>-0.2162792183</v>
      </c>
      <c r="N214" s="1"/>
      <c r="O214" s="45">
        <f t="shared" ref="O214:T214" si="118">NORMINV(rand(),0, sqrt(2/5))</f>
        <v>0.6556312053</v>
      </c>
      <c r="P214" s="46">
        <f t="shared" si="118"/>
        <v>0.04511826095</v>
      </c>
      <c r="Q214" s="46">
        <f t="shared" si="118"/>
        <v>-0.4606441847</v>
      </c>
      <c r="R214" s="46">
        <f t="shared" si="118"/>
        <v>-0.2843235725</v>
      </c>
      <c r="S214" s="46">
        <f t="shared" si="118"/>
        <v>0.2056348251</v>
      </c>
      <c r="T214" s="47">
        <f t="shared" si="118"/>
        <v>-0.1665875124</v>
      </c>
      <c r="U214" s="2"/>
      <c r="V214" s="2"/>
      <c r="W214" s="2"/>
      <c r="X214" s="2"/>
      <c r="Y214" s="2"/>
      <c r="Z214" s="2"/>
    </row>
    <row r="215">
      <c r="D215" s="4" t="s">
        <v>24</v>
      </c>
      <c r="F215" s="16"/>
      <c r="G215" s="16"/>
      <c r="H215" s="1"/>
      <c r="I215" s="42">
        <f t="shared" ref="I215:K215" si="119">NORMINV(rand(),0, sqrt(2/5))</f>
        <v>-0.7417446264</v>
      </c>
      <c r="J215" s="43">
        <f t="shared" si="119"/>
        <v>-1.454730742</v>
      </c>
      <c r="K215" s="44">
        <f t="shared" si="119"/>
        <v>0.5374915161</v>
      </c>
      <c r="M215" s="43"/>
      <c r="N215" s="43"/>
      <c r="O215" s="2"/>
      <c r="P215" s="162"/>
      <c r="Q215" s="43"/>
      <c r="R215" s="43"/>
      <c r="S215" s="43"/>
      <c r="T215" s="43"/>
      <c r="U215" s="43"/>
      <c r="V215" s="43"/>
      <c r="W215" s="43"/>
      <c r="X215" s="2"/>
      <c r="Y215" s="2"/>
      <c r="Z215" s="2"/>
    </row>
    <row r="216">
      <c r="D216" s="4" t="s">
        <v>24</v>
      </c>
      <c r="F216" s="16"/>
      <c r="G216" s="16"/>
      <c r="H216" s="1"/>
      <c r="I216" s="42">
        <f t="shared" ref="I216:K216" si="120">NORMINV(rand(),0, sqrt(2/5))</f>
        <v>-1.120793075</v>
      </c>
      <c r="J216" s="43">
        <f t="shared" si="120"/>
        <v>-0.5389163519</v>
      </c>
      <c r="K216" s="44">
        <f t="shared" si="120"/>
        <v>-0.6341073364</v>
      </c>
      <c r="M216" s="43"/>
      <c r="N216" s="43"/>
      <c r="O216" s="2"/>
      <c r="P216" s="1"/>
      <c r="Q216" s="43"/>
      <c r="R216" s="43"/>
      <c r="S216" s="43"/>
      <c r="T216" s="43"/>
      <c r="U216" s="43"/>
      <c r="V216" s="43"/>
      <c r="W216" s="43"/>
      <c r="X216" s="2"/>
      <c r="Y216" s="2"/>
      <c r="Z216" s="2"/>
    </row>
    <row r="217">
      <c r="D217" s="4" t="s">
        <v>24</v>
      </c>
      <c r="F217" s="16"/>
      <c r="G217" s="16"/>
      <c r="H217" s="162"/>
      <c r="I217" s="45">
        <f t="shared" ref="I217:K217" si="121">NORMINV(rand(),0, sqrt(2/5))</f>
        <v>-0.7983090125</v>
      </c>
      <c r="J217" s="46">
        <f t="shared" si="121"/>
        <v>-0.2383641659</v>
      </c>
      <c r="K217" s="47">
        <f t="shared" si="121"/>
        <v>-0.222423451</v>
      </c>
      <c r="M217" s="43"/>
      <c r="N217" s="43"/>
      <c r="O217" s="2"/>
      <c r="P217" s="2"/>
      <c r="Q217" s="2"/>
      <c r="R217" s="2"/>
      <c r="S217" s="2"/>
      <c r="T217" s="2"/>
      <c r="U217" s="43"/>
      <c r="V217" s="43"/>
      <c r="W217" s="43"/>
      <c r="X217" s="2"/>
      <c r="Y217" s="2"/>
      <c r="Z217" s="2"/>
    </row>
    <row r="218">
      <c r="D218" s="4" t="s">
        <v>24</v>
      </c>
      <c r="W218" s="43"/>
      <c r="X218" s="43"/>
      <c r="Y218" s="43"/>
      <c r="Z218" s="43"/>
    </row>
    <row r="219">
      <c r="D219" s="4" t="s">
        <v>24</v>
      </c>
      <c r="W219" s="43"/>
      <c r="X219" s="43"/>
      <c r="Y219" s="43"/>
      <c r="Z219" s="43"/>
    </row>
    <row r="220">
      <c r="B220" s="23" t="s">
        <v>40</v>
      </c>
      <c r="C220" s="12">
        <f t="array" ref="C220:E222">LET(x,C212:E214,rms,SQRT(MMULT(x^2,SEQUENCE(3,1,1/3,0))),x/rms)</f>
        <v>-1.524589132</v>
      </c>
      <c r="D220" s="13">
        <v>-0.49351975261210135</v>
      </c>
      <c r="E220" s="14">
        <v>0.657317452391179</v>
      </c>
      <c r="W220" s="43"/>
      <c r="X220" s="43"/>
      <c r="Y220" s="43"/>
      <c r="Z220" s="43"/>
    </row>
    <row r="221">
      <c r="C221" s="17">
        <v>1.2996998827731832</v>
      </c>
      <c r="D221" s="16">
        <v>-0.7845703697798542</v>
      </c>
      <c r="E221" s="18">
        <v>-0.8338042633513438</v>
      </c>
      <c r="W221" s="43"/>
      <c r="X221" s="43"/>
      <c r="Y221" s="43"/>
      <c r="Z221" s="43"/>
    </row>
    <row r="222">
      <c r="C222" s="19">
        <v>-1.1754098513313629</v>
      </c>
      <c r="D222" s="20">
        <v>0.7587747553065654</v>
      </c>
      <c r="E222" s="21">
        <v>1.0211133884650834</v>
      </c>
      <c r="W222" s="43"/>
      <c r="X222" s="43"/>
      <c r="Y222" s="43"/>
      <c r="Z222" s="43"/>
    </row>
    <row r="223">
      <c r="F223" s="16"/>
      <c r="G223" s="16"/>
      <c r="H223" s="1"/>
      <c r="I223" s="43"/>
      <c r="J223" s="43"/>
      <c r="K223" s="43"/>
      <c r="M223" s="43"/>
      <c r="N223" s="43"/>
      <c r="O223" s="2"/>
      <c r="P223" s="1"/>
      <c r="Q223" s="43"/>
      <c r="R223" s="43"/>
      <c r="S223" s="43"/>
      <c r="T223" s="43"/>
      <c r="U223" s="43"/>
      <c r="V223" s="43"/>
      <c r="W223" s="43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B1070" s="1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B1071" s="1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B1072" s="1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B1073" s="1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B1074" s="1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B1075" s="1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B1076" s="1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B1077" s="1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B1078" s="1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B1079" s="1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B1080" s="1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B1081" s="1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B1082" s="1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B1083" s="1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B1084" s="1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B1085" s="1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B1086" s="1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B1087" s="1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B1088" s="1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B1089" s="1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B1090" s="1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B1091" s="1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B1092" s="1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B1093" s="1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B1094" s="1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B1095" s="1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B1096" s="1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B1097" s="1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B1098" s="1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B1099" s="1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B1100" s="1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B1101" s="1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B1102" s="1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B1103" s="1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B1104" s="1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B1105" s="1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B1106" s="1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B1107" s="1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B1108" s="1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B1109" s="1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B1110" s="1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B1111" s="1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B1112" s="1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B1113" s="1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B1114" s="1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B1115" s="1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B1116" s="1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B1117" s="1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B1118" s="1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B1119" s="1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B1120" s="1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B1121" s="1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B1122" s="1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B1123" s="1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B1124" s="1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B1125" s="1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B1126" s="1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B1127" s="1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B1128" s="1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B1129" s="1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B1130" s="1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B1131" s="1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B1132" s="1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B1133" s="1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B1134" s="1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B1135" s="1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B1136" s="1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B1137" s="1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B1138" s="1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B1139" s="1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B1140" s="1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B1141" s="1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B1142" s="1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B1143" s="1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B1144" s="1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B1145" s="1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B1146" s="1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B1147" s="1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B1148" s="1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</sheetData>
  <mergeCells count="20">
    <mergeCell ref="A2:Z2"/>
    <mergeCell ref="G9:J9"/>
    <mergeCell ref="A18:D18"/>
    <mergeCell ref="G18:H18"/>
    <mergeCell ref="A27:D28"/>
    <mergeCell ref="A37:Z37"/>
    <mergeCell ref="H51:K52"/>
    <mergeCell ref="B99:E100"/>
    <mergeCell ref="A108:Z108"/>
    <mergeCell ref="A125:Z125"/>
    <mergeCell ref="A171:Z171"/>
    <mergeCell ref="A186:Z186"/>
    <mergeCell ref="A205:Z205"/>
    <mergeCell ref="A55:D55"/>
    <mergeCell ref="G55:H55"/>
    <mergeCell ref="A64:D65"/>
    <mergeCell ref="A74:Z74"/>
    <mergeCell ref="G81:J81"/>
    <mergeCell ref="B90:E90"/>
    <mergeCell ref="H90:I90"/>
  </mergeCells>
  <conditionalFormatting sqref="C127:G131 N133:N170 O133:S162 T133:W158 J134:M143 J157:M170 J172:N185 C174:G179 I174:I185 O174:T185 U174:Z178 U180:W185 X185:Z185 I187:T204 U187:Z199 C188:G200 U201:W204 I206:T223 U206:Z213 C207:G214 U215:W223 D217:D222 C218:C222 E218:G222 X218:Z222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4:G143 C177:G185 C187:G187 C189:G204 C206:G206 C208:G22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58:G162 C189:G197 C200:G204 C208:G211 C214:G22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65:G16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:G15 D81:H87 C110:G114">
    <cfRule type="colorScale" priority="5">
      <colorScale>
        <cfvo type="min"/>
        <cfvo type="max"/>
        <color rgb="FFFFFFFF"/>
        <color rgb="FF57BB8A"/>
      </colorScale>
    </cfRule>
  </conditionalFormatting>
  <conditionalFormatting sqref="C30:G34 D102:H106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0:G2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57:G61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7:G71">
    <cfRule type="colorScale" priority="9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D92:H96">
    <cfRule type="colorScale" priority="10">
      <colorScale>
        <cfvo type="min"/>
        <cfvo type="max"/>
        <color rgb="FFFFFFFF"/>
        <color rgb="FF57BB8A"/>
      </colorScale>
    </cfRule>
  </conditionalFormatting>
  <conditionalFormatting sqref="C117:G121">
    <cfRule type="colorScale" priority="11">
      <colorScale>
        <cfvo type="min"/>
        <cfvo type="max"/>
        <color rgb="FFFFFFFF"/>
        <color rgb="FF57BB8A"/>
      </colorScale>
    </cfRule>
  </conditionalFormatting>
  <conditionalFormatting sqref="I117:M121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46:G155">
    <cfRule type="colorScale" priority="13">
      <colorScale>
        <cfvo type="min"/>
        <cfvo type="max"/>
        <color rgb="FFFFFFFF"/>
        <color rgb="FF57BB8A"/>
      </colorScale>
    </cfRule>
  </conditionalFormatting>
  <conditionalFormatting sqref="O117:S121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