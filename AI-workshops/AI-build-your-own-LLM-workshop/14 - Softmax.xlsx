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<sst xmlns="http://schemas.openxmlformats.org/spreadsheetml/2006/main" count="82" uniqueCount="30">
  <si>
    <t xml:space="preserve">Logits vector </t>
  </si>
  <si>
    <t>logits</t>
  </si>
  <si>
    <t>(1,10)</t>
  </si>
  <si>
    <t xml:space="preserve">  Linear ratio probabilities </t>
  </si>
  <si>
    <t>min</t>
  </si>
  <si>
    <t>logit - min</t>
  </si>
  <si>
    <t>sum</t>
  </si>
  <si>
    <t>linear</t>
  </si>
  <si>
    <t>position</t>
  </si>
  <si>
    <t xml:space="preserve">Exponent </t>
  </si>
  <si>
    <t>number</t>
  </si>
  <si>
    <t>exp</t>
  </si>
  <si>
    <t xml:space="preserve">Logits -&gt; Linear ratio probabilities </t>
  </si>
  <si>
    <t>Softmax</t>
  </si>
  <si>
    <t>sum(exp)</t>
  </si>
  <si>
    <t>softmax</t>
  </si>
  <si>
    <t>Exponent: Intro</t>
  </si>
  <si>
    <t xml:space="preserve">Softmax vs. linear </t>
  </si>
  <si>
    <t>[Exercise] Note how Softmax pushes high probabilities higher,</t>
  </si>
  <si>
    <t xml:space="preserve">and low probabilities lower. </t>
  </si>
  <si>
    <t>Softmax: Vector</t>
  </si>
  <si>
    <t>Softmax Matrix</t>
  </si>
  <si>
    <t>Matrix1</t>
  </si>
  <si>
    <t>⬇</t>
  </si>
  <si>
    <t>Matrix2</t>
  </si>
  <si>
    <t>M1 @ M2</t>
  </si>
  <si>
    <t>➡</t>
  </si>
  <si>
    <t>RowSum</t>
  </si>
  <si>
    <t>Exponent</t>
  </si>
  <si>
    <t>SoftMax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</si>
</sst>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/>
    </xf>
    <xf borderId="0" fillId="0" fontId="2" numFmtId="0" xfId="0" applyFont="1"/>
    <xf borderId="1" fillId="0" fontId="2" numFmtId="164" xfId="0" applyAlignment="1" applyBorder="1" applyFont="1" applyNumberFormat="1">
      <alignment horizontal="left" readingOrder="0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2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2" numFmtId="0" xfId="0" applyAlignment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5" fillId="0" fontId="4" numFmtId="0" xfId="0" applyBorder="1" applyFont="1"/>
    <xf borderId="6" fillId="0" fontId="5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2" numFmtId="164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/>
    </xf>
    <xf borderId="6" fillId="0" fontId="2" numFmtId="164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1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 vs. logit / sum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Answers'!$B$17</c:f>
            </c:strRef>
          </c:tx>
          <c:cat>
            <c:strRef>
              <c:f>'wo Answers'!$C$18:$L$18</c:f>
            </c:strRef>
          </c:cat>
          <c:val>
            <c:numRef>
              <c:f>'wo Answers'!$C$17:$L$17</c:f>
              <c:numCache/>
            </c:numRef>
          </c:val>
        </c:ser>
        <c:axId val="745407346"/>
        <c:axId val="1687720370"/>
      </c:barChart>
      <c:catAx>
        <c:axId val="745407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720370"/>
      </c:catAx>
      <c:valAx>
        <c:axId val="16877203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45407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481695824"/>
        <c:axId val="1459337040"/>
      </c:lineChart>
      <c:catAx>
        <c:axId val="148169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337040"/>
      </c:catAx>
      <c:valAx>
        <c:axId val="14593370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8169582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by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Answers'!$B$68</c:f>
            </c:strRef>
          </c:tx>
          <c:cat>
            <c:strRef>
              <c:f>'wo Answers'!$C$69:$L$69</c:f>
            </c:strRef>
          </c:cat>
          <c:val>
            <c:numRef>
              <c:f>'wo Answers'!$C$68:$L$68</c:f>
              <c:numCache/>
            </c:numRef>
          </c:val>
        </c:ser>
        <c:axId val="1282817216"/>
        <c:axId val="1779175590"/>
      </c:barChart>
      <c:catAx>
        <c:axId val="128281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175590"/>
      </c:catAx>
      <c:valAx>
        <c:axId val="17791755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828172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vs. linear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Answers'!$B$94</c:f>
            </c:strRef>
          </c:tx>
          <c:cat>
            <c:strRef>
              <c:f>'wo Answers'!$C$95:$L$95</c:f>
            </c:strRef>
          </c:cat>
          <c:val>
            <c:numRef>
              <c:f>'wo Answers'!$C$94:$L$94</c:f>
              <c:numCache/>
            </c:numRef>
          </c:val>
        </c:ser>
        <c:ser>
          <c:idx val="1"/>
          <c:order val="1"/>
          <c:tx>
            <c:strRef>
              <c:f>'wo Answers'!$B$93</c:f>
            </c:strRef>
          </c:tx>
          <c:cat>
            <c:strRef>
              <c:f>'wo Answers'!$C$95:$L$95</c:f>
            </c:strRef>
          </c:cat>
          <c:val>
            <c:numRef>
              <c:f>'wo Answers'!$C$93:$L$93</c:f>
              <c:numCache/>
            </c:numRef>
          </c:val>
        </c:ser>
        <c:axId val="1730519718"/>
        <c:axId val="771765819"/>
      </c:barChart>
      <c:catAx>
        <c:axId val="1730519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e/sum(e)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765819"/>
      </c:catAx>
      <c:valAx>
        <c:axId val="77176581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30519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 vs. logit / sum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 Answers'!$B$17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Answers'!$C$18:$L$18</c:f>
            </c:strRef>
          </c:cat>
          <c:val>
            <c:numRef>
              <c:f>'w Answers'!$C$17:$L$17</c:f>
              <c:numCache/>
            </c:numRef>
          </c:val>
        </c:ser>
        <c:axId val="1480216281"/>
        <c:axId val="65557661"/>
      </c:barChart>
      <c:catAx>
        <c:axId val="1480216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57661"/>
      </c:catAx>
      <c:valAx>
        <c:axId val="65557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216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 Answers'!$B$38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 Answers'!$C$38:$O$38</c:f>
            </c:strRef>
          </c:cat>
          <c:val>
            <c:numRef>
              <c:f>'w Answers'!$C$38:$O$38</c:f>
              <c:numCache/>
            </c:numRef>
          </c:val>
          <c:smooth val="1"/>
        </c:ser>
        <c:axId val="886244516"/>
        <c:axId val="395528258"/>
      </c:lineChart>
      <c:catAx>
        <c:axId val="886244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528258"/>
      </c:catAx>
      <c:valAx>
        <c:axId val="395528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244516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by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 Answers'!$B$68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Answers'!$C$69:$L$69</c:f>
            </c:strRef>
          </c:cat>
          <c:val>
            <c:numRef>
              <c:f>'w Answers'!$C$68:$L$68</c:f>
              <c:numCache/>
            </c:numRef>
          </c:val>
        </c:ser>
        <c:axId val="1242797007"/>
        <c:axId val="1801255658"/>
      </c:barChart>
      <c:catAx>
        <c:axId val="1242797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255658"/>
      </c:catAx>
      <c:valAx>
        <c:axId val="1801255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797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vs. linear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Softmax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Answers'!$C$95:$L$95</c:f>
            </c:strRef>
          </c:cat>
          <c:val>
            <c:numRef>
              <c:f>'w Answers'!$C$94:$L$94</c:f>
              <c:numCache/>
            </c:numRef>
          </c:val>
        </c:ser>
        <c:ser>
          <c:idx val="1"/>
          <c:order val="1"/>
          <c:tx>
            <c:v>linear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'w Answers'!$C$95:$L$95</c:f>
            </c:strRef>
          </c:cat>
          <c:val>
            <c:numRef>
              <c:f>'w Answers'!$C$93:$L$93</c:f>
              <c:numCache/>
            </c:numRef>
          </c:val>
        </c:ser>
        <c:axId val="1393755678"/>
        <c:axId val="1608189123"/>
      </c:barChart>
      <c:catAx>
        <c:axId val="1393755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e/sum(e)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189123"/>
      </c:catAx>
      <c:valAx>
        <c:axId val="1608189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755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18</xdr:row>
      <xdr:rowOff>142875</xdr:rowOff>
    </xdr:from>
    <xdr:ext cx="4772025" cy="2952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41</xdr:row>
      <xdr:rowOff>85725</xdr:rowOff>
    </xdr:from>
    <xdr:ext cx="81915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70</xdr:row>
      <xdr:rowOff>47625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96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276225</xdr:colOff>
      <xdr:row>62</xdr:row>
      <xdr:rowOff>209550</xdr:rowOff>
    </xdr:from>
    <xdr:ext cx="3581400" cy="8572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18</xdr:row>
      <xdr:rowOff>142875</xdr:rowOff>
    </xdr:from>
    <xdr:ext cx="4772025" cy="295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41</xdr:row>
      <xdr:rowOff>85725</xdr:rowOff>
    </xdr:from>
    <xdr:ext cx="81915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70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96</xdr:row>
      <xdr:rowOff>95250</xdr:rowOff>
    </xdr:from>
    <xdr:ext cx="421005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276225</xdr:colOff>
      <xdr:row>62</xdr:row>
      <xdr:rowOff>209550</xdr:rowOff>
    </xdr:from>
    <xdr:ext cx="3581400" cy="8572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38"/>
    <col customWidth="1" min="3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9">
        <f>norminv(rand(), 0, 7)</f>
        <v>-9.555747975</v>
      </c>
      <c r="D4" s="10"/>
      <c r="E4" s="10"/>
      <c r="F4" s="10"/>
      <c r="G4" s="10"/>
      <c r="H4" s="10"/>
      <c r="I4" s="10"/>
      <c r="J4" s="10"/>
      <c r="K4" s="10"/>
      <c r="L4" s="11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" t="s">
        <v>1</v>
      </c>
      <c r="C9" s="12">
        <f t="shared" ref="C9:L9" si="1">C$4</f>
        <v>-9.555747975</v>
      </c>
      <c r="D9" s="5" t="str">
        <f t="shared" si="1"/>
        <v/>
      </c>
      <c r="E9" s="5" t="str">
        <f t="shared" si="1"/>
        <v/>
      </c>
      <c r="F9" s="5" t="str">
        <f t="shared" si="1"/>
        <v/>
      </c>
      <c r="G9" s="5" t="str">
        <f t="shared" si="1"/>
        <v/>
      </c>
      <c r="H9" s="5" t="str">
        <f t="shared" si="1"/>
        <v/>
      </c>
      <c r="I9" s="5" t="str">
        <f t="shared" si="1"/>
        <v/>
      </c>
      <c r="J9" s="5" t="str">
        <f t="shared" si="1"/>
        <v/>
      </c>
      <c r="K9" s="5" t="str">
        <f t="shared" si="1"/>
        <v/>
      </c>
      <c r="L9" s="5" t="str">
        <f t="shared" si="1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4" t="s">
        <v>4</v>
      </c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"/>
      <c r="S11" s="2"/>
      <c r="T11" s="2"/>
      <c r="U11" s="2"/>
      <c r="V11" s="2"/>
      <c r="W11" s="2"/>
      <c r="X11" s="2"/>
      <c r="Y11" s="2"/>
      <c r="Z11" s="2"/>
    </row>
    <row r="12">
      <c r="B12" s="4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6"/>
      <c r="S12" s="2"/>
      <c r="T12" s="2"/>
      <c r="U12" s="2"/>
      <c r="V12" s="2"/>
      <c r="W12" s="2"/>
      <c r="X12" s="2"/>
      <c r="Y12" s="2"/>
      <c r="Z12" s="2"/>
    </row>
    <row r="13">
      <c r="B13" s="4" t="s">
        <v>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4" t="s">
        <v>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8</v>
      </c>
      <c r="C18" s="2">
        <f t="array" ref="C18:L18">SEQUENCE(1, 10, 1)</f>
        <v>1</v>
      </c>
      <c r="D18" s="2">
        <v>2.0</v>
      </c>
      <c r="E18" s="2">
        <v>3.0</v>
      </c>
      <c r="F18" s="2">
        <v>4.0</v>
      </c>
      <c r="G18" s="2">
        <v>5.0</v>
      </c>
      <c r="H18" s="2">
        <v>6.0</v>
      </c>
      <c r="I18" s="2">
        <v>7.0</v>
      </c>
      <c r="J18" s="2">
        <v>8.0</v>
      </c>
      <c r="K18" s="2">
        <v>9.0</v>
      </c>
      <c r="L18" s="2">
        <v>10.0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16</v>
      </c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4" t="s">
        <v>10</v>
      </c>
      <c r="C38" s="8">
        <f t="array" ref="C38:L38">SEQUENCE(1, 10, -2, 0.3)</f>
        <v>-2</v>
      </c>
      <c r="D38" s="8">
        <v>-1.7</v>
      </c>
      <c r="E38" s="8">
        <v>-1.4</v>
      </c>
      <c r="F38" s="8">
        <v>-1.0999999999999999</v>
      </c>
      <c r="G38" s="8">
        <v>-0.7999999999999998</v>
      </c>
      <c r="H38" s="8">
        <v>-0.49999999999999983</v>
      </c>
      <c r="I38" s="8">
        <v>-0.19999999999999984</v>
      </c>
      <c r="J38" s="8">
        <v>0.10000000000000014</v>
      </c>
      <c r="K38" s="8">
        <v>0.40000000000000013</v>
      </c>
      <c r="L38" s="8">
        <v>0.7000000000000002</v>
      </c>
      <c r="M38" s="2">
        <f t="array" ref="M38:V38">SEQUENCE(1, 10, 1)</f>
        <v>1</v>
      </c>
      <c r="N38" s="2">
        <v>2.0</v>
      </c>
      <c r="O38" s="2">
        <v>3.0</v>
      </c>
      <c r="P38" s="2">
        <v>4.0</v>
      </c>
      <c r="Q38" s="2">
        <v>5.0</v>
      </c>
      <c r="R38" s="2">
        <v>6.0</v>
      </c>
      <c r="S38" s="2">
        <v>7.0</v>
      </c>
      <c r="T38" s="2">
        <v>8.0</v>
      </c>
      <c r="U38" s="2">
        <v>9.0</v>
      </c>
      <c r="V38" s="2">
        <v>10.0</v>
      </c>
      <c r="W38" s="2"/>
      <c r="X38" s="2"/>
      <c r="Y38" s="2"/>
      <c r="Z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11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20</v>
      </c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4" t="s">
        <v>1</v>
      </c>
      <c r="C63" s="5">
        <f t="shared" ref="C63:L63" si="2">C$4</f>
        <v>-9.555747975</v>
      </c>
      <c r="D63" s="5" t="str">
        <f t="shared" si="2"/>
        <v/>
      </c>
      <c r="E63" s="5" t="str">
        <f t="shared" si="2"/>
        <v/>
      </c>
      <c r="F63" s="5" t="str">
        <f t="shared" si="2"/>
        <v/>
      </c>
      <c r="G63" s="5" t="str">
        <f t="shared" si="2"/>
        <v/>
      </c>
      <c r="H63" s="5" t="str">
        <f t="shared" si="2"/>
        <v/>
      </c>
      <c r="I63" s="5" t="str">
        <f t="shared" si="2"/>
        <v/>
      </c>
      <c r="J63" s="5" t="str">
        <f t="shared" si="2"/>
        <v/>
      </c>
      <c r="K63" s="5" t="str">
        <f t="shared" si="2"/>
        <v/>
      </c>
      <c r="L63" s="5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4" t="s">
        <v>11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4" t="s">
        <v>14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4" t="s">
        <v>15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4" t="s">
        <v>8</v>
      </c>
      <c r="C69" s="2">
        <f t="array" ref="C69:L69">SEQUENCE(1, 10, 1)</f>
        <v>1</v>
      </c>
      <c r="D69" s="2">
        <v>2.0</v>
      </c>
      <c r="E69" s="2">
        <v>3.0</v>
      </c>
      <c r="F69" s="2">
        <v>4.0</v>
      </c>
      <c r="G69" s="2">
        <v>5.0</v>
      </c>
      <c r="H69" s="2">
        <v>6.0</v>
      </c>
      <c r="I69" s="2">
        <v>7.0</v>
      </c>
      <c r="J69" s="2">
        <v>8.0</v>
      </c>
      <c r="K69" s="2">
        <v>9.0</v>
      </c>
      <c r="L69" s="2">
        <v>10.0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17</v>
      </c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4" t="s">
        <v>1</v>
      </c>
      <c r="C92" s="14">
        <f t="shared" ref="C92:L92" si="3">C$4</f>
        <v>-9.555747975</v>
      </c>
      <c r="D92" s="14" t="str">
        <f t="shared" si="3"/>
        <v/>
      </c>
      <c r="E92" s="14" t="str">
        <f t="shared" si="3"/>
        <v/>
      </c>
      <c r="F92" s="14" t="str">
        <f t="shared" si="3"/>
        <v/>
      </c>
      <c r="G92" s="14" t="str">
        <f t="shared" si="3"/>
        <v/>
      </c>
      <c r="H92" s="14" t="str">
        <f t="shared" si="3"/>
        <v/>
      </c>
      <c r="I92" s="14" t="str">
        <f t="shared" si="3"/>
        <v/>
      </c>
      <c r="J92" s="14" t="str">
        <f t="shared" si="3"/>
        <v/>
      </c>
      <c r="K92" s="14" t="str">
        <f t="shared" si="3"/>
        <v/>
      </c>
      <c r="L92" s="14" t="str">
        <f t="shared" si="3"/>
        <v/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4" t="s">
        <v>7</v>
      </c>
      <c r="C93" s="7" t="str">
        <f t="shared" ref="C93:L93" si="4">C17</f>
        <v/>
      </c>
      <c r="D93" s="7" t="str">
        <f t="shared" si="4"/>
        <v/>
      </c>
      <c r="E93" s="7" t="str">
        <f t="shared" si="4"/>
        <v/>
      </c>
      <c r="F93" s="7" t="str">
        <f t="shared" si="4"/>
        <v/>
      </c>
      <c r="G93" s="7" t="str">
        <f t="shared" si="4"/>
        <v/>
      </c>
      <c r="H93" s="7" t="str">
        <f t="shared" si="4"/>
        <v/>
      </c>
      <c r="I93" s="7" t="str">
        <f t="shared" si="4"/>
        <v/>
      </c>
      <c r="J93" s="7" t="str">
        <f t="shared" si="4"/>
        <v/>
      </c>
      <c r="K93" s="7" t="str">
        <f t="shared" si="4"/>
        <v/>
      </c>
      <c r="L93" s="7" t="str">
        <f t="shared" si="4"/>
        <v/>
      </c>
      <c r="M93" s="2"/>
      <c r="N93" s="15" t="s">
        <v>18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15</v>
      </c>
      <c r="C94" s="7" t="str">
        <f t="shared" ref="C94:L94" si="5">C68</f>
        <v/>
      </c>
      <c r="D94" s="7" t="str">
        <f t="shared" si="5"/>
        <v/>
      </c>
      <c r="E94" s="7" t="str">
        <f t="shared" si="5"/>
        <v/>
      </c>
      <c r="F94" s="7" t="str">
        <f t="shared" si="5"/>
        <v/>
      </c>
      <c r="G94" s="7" t="str">
        <f t="shared" si="5"/>
        <v/>
      </c>
      <c r="H94" s="7" t="str">
        <f t="shared" si="5"/>
        <v/>
      </c>
      <c r="I94" s="7" t="str">
        <f t="shared" si="5"/>
        <v/>
      </c>
      <c r="J94" s="7" t="str">
        <f t="shared" si="5"/>
        <v/>
      </c>
      <c r="K94" s="7" t="str">
        <f t="shared" si="5"/>
        <v/>
      </c>
      <c r="L94" s="7" t="str">
        <f t="shared" si="5"/>
        <v/>
      </c>
      <c r="M94" s="2"/>
      <c r="N94" s="15" t="s">
        <v>19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8</v>
      </c>
      <c r="C95" s="2">
        <v>1.0</v>
      </c>
      <c r="D95" s="2">
        <v>2.0</v>
      </c>
      <c r="E95" s="2">
        <v>3.0</v>
      </c>
      <c r="F95" s="2">
        <v>4.0</v>
      </c>
      <c r="G95" s="2">
        <v>5.0</v>
      </c>
      <c r="H95" s="2">
        <v>6.0</v>
      </c>
      <c r="I95" s="2">
        <v>7.0</v>
      </c>
      <c r="J95" s="2">
        <v>8.0</v>
      </c>
      <c r="K95" s="2">
        <v>9.0</v>
      </c>
      <c r="L95" s="2">
        <v>10.0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21</v>
      </c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4" t="s">
        <v>22</v>
      </c>
      <c r="J118" s="5">
        <f t="shared" ref="J118:N118" si="6">rand()</f>
        <v>0.01220546011</v>
      </c>
      <c r="K118" s="5">
        <f t="shared" si="6"/>
        <v>0.07448218115</v>
      </c>
      <c r="L118" s="5">
        <f t="shared" si="6"/>
        <v>0.4356162989</v>
      </c>
      <c r="M118" s="5">
        <f t="shared" si="6"/>
        <v>0.2432188301</v>
      </c>
      <c r="N118" s="5">
        <f t="shared" si="6"/>
        <v>0.7690076396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1"/>
      <c r="J119" s="5">
        <f t="shared" ref="J119:N119" si="7">rand()</f>
        <v>0.3704625761</v>
      </c>
      <c r="K119" s="5">
        <f t="shared" si="7"/>
        <v>0.3376628662</v>
      </c>
      <c r="L119" s="5">
        <f t="shared" si="7"/>
        <v>0.8291768619</v>
      </c>
      <c r="M119" s="5">
        <f t="shared" si="7"/>
        <v>0.305964463</v>
      </c>
      <c r="N119" s="5">
        <f t="shared" si="7"/>
        <v>0.591543918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1"/>
      <c r="J120" s="5">
        <f t="shared" ref="J120:N120" si="8">rand()</f>
        <v>0.8947738983</v>
      </c>
      <c r="K120" s="5">
        <f t="shared" si="8"/>
        <v>0.2889888754</v>
      </c>
      <c r="L120" s="5">
        <f t="shared" si="8"/>
        <v>0.1349880699</v>
      </c>
      <c r="M120" s="5">
        <f t="shared" si="8"/>
        <v>0.4547550789</v>
      </c>
      <c r="N120" s="5">
        <f t="shared" si="8"/>
        <v>0.4684509758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1"/>
      <c r="J121" s="5">
        <f t="shared" ref="J121:N121" si="9">rand()</f>
        <v>0.175947498</v>
      </c>
      <c r="K121" s="5">
        <f t="shared" si="9"/>
        <v>0.04086505282</v>
      </c>
      <c r="L121" s="5">
        <f t="shared" si="9"/>
        <v>0.2667008357</v>
      </c>
      <c r="M121" s="5">
        <f t="shared" si="9"/>
        <v>0.04755969875</v>
      </c>
      <c r="N121" s="5">
        <f t="shared" si="9"/>
        <v>0.08035569593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1"/>
      <c r="J122" s="5">
        <f t="shared" ref="J122:N122" si="10">rand()</f>
        <v>0.5048054639</v>
      </c>
      <c r="K122" s="5">
        <f t="shared" si="10"/>
        <v>0.09865358438</v>
      </c>
      <c r="L122" s="5">
        <f t="shared" si="10"/>
        <v>0.3524681014</v>
      </c>
      <c r="M122" s="5">
        <f t="shared" si="10"/>
        <v>0.7455414173</v>
      </c>
      <c r="N122" s="5">
        <f t="shared" si="10"/>
        <v>0.02701783354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6" t="s">
        <v>23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6" t="s">
        <v>23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4" t="s">
        <v>24</v>
      </c>
      <c r="C125" s="5">
        <f t="shared" ref="C125:G125" si="11">NORMINV(rand(),0, 1)</f>
        <v>0.1576916322</v>
      </c>
      <c r="D125" s="5">
        <f t="shared" si="11"/>
        <v>-0.4621403299</v>
      </c>
      <c r="E125" s="5">
        <f t="shared" si="11"/>
        <v>-1.167231284</v>
      </c>
      <c r="F125" s="5">
        <f t="shared" si="11"/>
        <v>-1.677953843</v>
      </c>
      <c r="G125" s="5">
        <f t="shared" si="11"/>
        <v>0.3337169325</v>
      </c>
      <c r="H125" s="2"/>
      <c r="I125" s="4" t="s">
        <v>25</v>
      </c>
      <c r="J125" s="5">
        <f t="array" ref="J125:N129">MMULT(C125:G129,J118:N122)</f>
        <v>-1.340458734</v>
      </c>
      <c r="K125" s="5">
        <v>-0.5172665686207919</v>
      </c>
      <c r="L125" s="5">
        <v>-0.8019524401084507</v>
      </c>
      <c r="M125" s="5">
        <v>-0.464852482728012</v>
      </c>
      <c r="N125" s="5">
        <v>-0.8247177059422683</v>
      </c>
      <c r="O125" s="2"/>
      <c r="P125" s="2"/>
      <c r="Q125" s="2"/>
      <c r="R125" s="2" t="str">
        <f>IFERROR(__xludf.DUMMYFUNCTION("SPARKLINE((J125-MIN($J125:$N125))/SUMPRODUCT($J125:$N125-MIN($J125:$N125)), {""charttype"",""bar""; ""max"",1; ""color1"",""#4285F4""})"),"")</f>
        <v/>
      </c>
      <c r="S125" s="2" t="str">
        <f>IFERROR(__xludf.DUMMYFUNCTION("SPARKLINE((K125-MIN($J125:$N125))/SUMPRODUCT($J125:$N125-MIN($J125:$N125)), {""charttype"",""bar""; ""max"",1; ""color1"",""#4285F4""})"),"")</f>
        <v/>
      </c>
      <c r="T125" s="2" t="str">
        <f>IFERROR(__xludf.DUMMYFUNCTION("SPARKLINE((L125-MIN($J125:$N125))/SUMPRODUCT($J125:$N125-MIN($J125:$N125)), {""charttype"",""bar""; ""max"",1; ""color1"",""#4285F4""})"),"")</f>
        <v/>
      </c>
      <c r="U125" s="2" t="str">
        <f>IFERROR(__xludf.DUMMYFUNCTION("SPARKLINE((M125-MIN($J125:$N125))/SUMPRODUCT($J125:$N125-MIN($J125:$N125)), {""charttype"",""bar""; ""max"",1; ""color1"",""#4285F4""})"),"")</f>
        <v/>
      </c>
      <c r="V125" s="2" t="str">
        <f>IFERROR(__xludf.DUMMYFUNCTION("SPARKLINE((N125-MIN($J125:$N125))/SUMPRODUCT($J125:$N125-MIN($J125:$N125)), {""charttype"",""bar""; ""max"",1; ""color1"",""#4285F4""})"),"")</f>
        <v/>
      </c>
      <c r="W125" s="2"/>
      <c r="X125" s="2"/>
      <c r="Y125" s="2"/>
      <c r="Z125" s="2"/>
    </row>
    <row r="126">
      <c r="B126" s="1"/>
      <c r="C126" s="5">
        <f t="shared" ref="C126:G126" si="12">NORMINV(rand(),0, 1)</f>
        <v>-1.357102442</v>
      </c>
      <c r="D126" s="5">
        <f t="shared" si="12"/>
        <v>0.1611999941</v>
      </c>
      <c r="E126" s="5">
        <f t="shared" si="12"/>
        <v>-0.2104909319</v>
      </c>
      <c r="F126" s="5">
        <f t="shared" si="12"/>
        <v>-1.595911168</v>
      </c>
      <c r="G126" s="5">
        <f t="shared" si="12"/>
        <v>0.05345322564</v>
      </c>
      <c r="H126" s="2"/>
      <c r="I126" s="2"/>
      <c r="J126" s="5">
        <v>-0.3990003831122544</v>
      </c>
      <c r="K126" s="5">
        <v>-0.1674218774250583</v>
      </c>
      <c r="L126" s="5">
        <v>-0.8927166876389365</v>
      </c>
      <c r="M126" s="5">
        <v>-0.41252267969794104</v>
      </c>
      <c r="N126" s="5">
        <v>-1.1736663140663832</v>
      </c>
      <c r="O126" s="2"/>
      <c r="P126" s="2"/>
      <c r="Q126" s="2"/>
      <c r="R126" s="2" t="str">
        <f>IFERROR(__xludf.DUMMYFUNCTION("SPARKLINE((J126-MIN($J126:$N126))/SUMPRODUCT($J126:$N126-MIN($J126:$N126)), {""charttype"",""bar""; ""max"",1; ""color1"",""#4285F4""})"),"")</f>
        <v/>
      </c>
      <c r="S126" s="2" t="str">
        <f>IFERROR(__xludf.DUMMYFUNCTION("SPARKLINE((K126-MIN($J126:$N126))/SUMPRODUCT($J126:$N126-MIN($J126:$N126)), {""charttype"",""bar""; ""max"",1; ""color1"",""#4285F4""})"),"")</f>
        <v/>
      </c>
      <c r="T126" s="2" t="str">
        <f>IFERROR(__xludf.DUMMYFUNCTION("SPARKLINE((L126-MIN($J126:$N126))/SUMPRODUCT($J126:$N126-MIN($J126:$N126)), {""charttype"",""bar""; ""max"",1; ""color1"",""#4285F4""})"),"")</f>
        <v/>
      </c>
      <c r="U126" s="2" t="str">
        <f>IFERROR(__xludf.DUMMYFUNCTION("SPARKLINE((M126-MIN($J126:$N126))/SUMPRODUCT($J126:$N126-MIN($J126:$N126)), {""charttype"",""bar""; ""max"",1; ""color1"",""#4285F4""})"),"")</f>
        <v/>
      </c>
      <c r="V126" s="2" t="str">
        <f>IFERROR(__xludf.DUMMYFUNCTION("SPARKLINE((N126-MIN($J126:$N126))/SUMPRODUCT($J126:$N126-MIN($J126:$N126)), {""charttype"",""bar""; ""max"",1; ""color1"",""#4285F4""})"),"")</f>
        <v/>
      </c>
      <c r="W126" s="2"/>
      <c r="X126" s="2"/>
      <c r="Y126" s="2"/>
      <c r="Z126" s="2"/>
    </row>
    <row r="127">
      <c r="B127" s="1"/>
      <c r="C127" s="5">
        <f t="shared" ref="C127:G127" si="13">NORMINV(rand(),0, 1)</f>
        <v>-0.3593099076</v>
      </c>
      <c r="D127" s="5">
        <f t="shared" si="13"/>
        <v>0.003024151326</v>
      </c>
      <c r="E127" s="5">
        <f t="shared" si="13"/>
        <v>-1.336531746</v>
      </c>
      <c r="F127" s="5">
        <f t="shared" si="13"/>
        <v>1.143854309</v>
      </c>
      <c r="G127" s="5">
        <f t="shared" si="13"/>
        <v>-2.157945007</v>
      </c>
      <c r="H127" s="6" t="s">
        <v>26</v>
      </c>
      <c r="I127" s="6" t="s">
        <v>26</v>
      </c>
      <c r="J127" s="5">
        <v>-2.087243054729908</v>
      </c>
      <c r="K127" s="5">
        <v>-0.5781291912068833</v>
      </c>
      <c r="L127" s="5">
        <v>-0.7899694160470823</v>
      </c>
      <c r="M127" s="5">
        <v>-2.248696264679695</v>
      </c>
      <c r="N127" s="5">
        <v>-0.8670105361023394</v>
      </c>
      <c r="O127" s="2"/>
      <c r="P127" s="2"/>
      <c r="Q127" s="2"/>
      <c r="R127" s="2" t="str">
        <f>IFERROR(__xludf.DUMMYFUNCTION("SPARKLINE((J127-MIN($J127:$N127))/SUMPRODUCT($J127:$N127-MIN($J127:$N127)), {""charttype"",""bar""; ""max"",1; ""color1"",""#4285F4""})"),"")</f>
        <v/>
      </c>
      <c r="S127" s="2" t="str">
        <f>IFERROR(__xludf.DUMMYFUNCTION("SPARKLINE((K127-MIN($J127:$N127))/SUMPRODUCT($J127:$N127-MIN($J127:$N127)), {""charttype"",""bar""; ""max"",1; ""color1"",""#4285F4""})"),"")</f>
        <v/>
      </c>
      <c r="T127" s="2" t="str">
        <f>IFERROR(__xludf.DUMMYFUNCTION("SPARKLINE((L127-MIN($J127:$N127))/SUMPRODUCT($J127:$N127-MIN($J127:$N127)), {""charttype"",""bar""; ""max"",1; ""color1"",""#4285F4""})"),"")</f>
        <v/>
      </c>
      <c r="U127" s="2" t="str">
        <f>IFERROR(__xludf.DUMMYFUNCTION("SPARKLINE((M127-MIN($J127:$N127))/SUMPRODUCT($J127:$N127-MIN($J127:$N127)), {""charttype"",""bar""; ""max"",1; ""color1"",""#4285F4""})"),"")</f>
        <v/>
      </c>
      <c r="V127" s="2" t="str">
        <f>IFERROR(__xludf.DUMMYFUNCTION("SPARKLINE((N127-MIN($J127:$N127))/SUMPRODUCT($J127:$N127-MIN($J127:$N127)), {""charttype"",""bar""; ""max"",1; ""color1"",""#4285F4""})"),"")</f>
        <v/>
      </c>
      <c r="W127" s="2"/>
      <c r="X127" s="2"/>
      <c r="Y127" s="2"/>
      <c r="Z127" s="2"/>
    </row>
    <row r="128">
      <c r="B128" s="1"/>
      <c r="C128" s="5">
        <f t="shared" ref="C128:G128" si="14">NORMINV(rand(),0, 1)</f>
        <v>1.243338637</v>
      </c>
      <c r="D128" s="5">
        <f t="shared" si="14"/>
        <v>1.14010426</v>
      </c>
      <c r="E128" s="5">
        <f t="shared" si="14"/>
        <v>0.232146488</v>
      </c>
      <c r="F128" s="5">
        <f t="shared" si="14"/>
        <v>1.135295216</v>
      </c>
      <c r="G128" s="5">
        <f t="shared" si="14"/>
        <v>0.09096328746</v>
      </c>
      <c r="H128" s="2"/>
      <c r="I128" s="2"/>
      <c r="J128" s="5">
        <v>0.8909312167146415</v>
      </c>
      <c r="K128" s="5">
        <v>0.6000329516124663</v>
      </c>
      <c r="L128" s="5">
        <v>1.8531494945335283</v>
      </c>
      <c r="M128" s="5">
        <v>0.8786157476897313</v>
      </c>
      <c r="N128" s="5">
        <v>1.832992968690169</v>
      </c>
      <c r="O128" s="2"/>
      <c r="P128" s="2"/>
      <c r="Q128" s="2"/>
      <c r="R128" s="2" t="str">
        <f>IFERROR(__xludf.DUMMYFUNCTION("SPARKLINE((J128-MIN($J128:$N128))/SUMPRODUCT($J128:$N128-MIN($J128:$N128)), {""charttype"",""bar""; ""max"",1; ""color1"",""#4285F4""})"),"")</f>
        <v/>
      </c>
      <c r="S128" s="2" t="str">
        <f>IFERROR(__xludf.DUMMYFUNCTION("SPARKLINE((K128-MIN($J128:$N128))/SUMPRODUCT($J128:$N128-MIN($J128:$N128)), {""charttype"",""bar""; ""max"",1; ""color1"",""#4285F4""})"),"")</f>
        <v/>
      </c>
      <c r="T128" s="2" t="str">
        <f>IFERROR(__xludf.DUMMYFUNCTION("SPARKLINE((L128-MIN($J128:$N128))/SUMPRODUCT($J128:$N128-MIN($J128:$N128)), {""charttype"",""bar""; ""max"",1; ""color1"",""#4285F4""})"),"")</f>
        <v/>
      </c>
      <c r="U128" s="2" t="str">
        <f>IFERROR(__xludf.DUMMYFUNCTION("SPARKLINE((M128-MIN($J128:$N128))/SUMPRODUCT($J128:$N128-MIN($J128:$N128)), {""charttype"",""bar""; ""max"",1; ""color1"",""#4285F4""})"),"")</f>
        <v/>
      </c>
      <c r="V128" s="2" t="str">
        <f>IFERROR(__xludf.DUMMYFUNCTION("SPARKLINE((N128-MIN($J128:$N128))/SUMPRODUCT($J128:$N128-MIN($J128:$N128)), {""charttype"",""bar""; ""max"",1; ""color1"",""#4285F4""})"),"")</f>
        <v/>
      </c>
      <c r="W128" s="2"/>
      <c r="X128" s="2"/>
      <c r="Y128" s="2"/>
      <c r="Z128" s="2"/>
    </row>
    <row r="129">
      <c r="B129" s="1"/>
      <c r="C129" s="5">
        <f t="shared" ref="C129:G129" si="15">NORMINV(rand(),0, 1)</f>
        <v>-0.04022375483</v>
      </c>
      <c r="D129" s="5">
        <f t="shared" si="15"/>
        <v>0.1156653075</v>
      </c>
      <c r="E129" s="5">
        <f t="shared" si="15"/>
        <v>-1.329679605</v>
      </c>
      <c r="F129" s="5">
        <f t="shared" si="15"/>
        <v>-0.9633408105</v>
      </c>
      <c r="G129" s="5">
        <f t="shared" si="15"/>
        <v>-0.5562950476</v>
      </c>
      <c r="H129" s="2"/>
      <c r="I129" s="2"/>
      <c r="J129" s="5">
        <v>-1.5977220706998552</v>
      </c>
      <c r="K129" s="5">
        <v>-0.4424501610690863</v>
      </c>
      <c r="L129" s="5">
        <v>-0.5541060685659321</v>
      </c>
      <c r="M129" s="5">
        <v>-1.0396294516905407</v>
      </c>
      <c r="N129" s="5">
        <v>-0.6778407825764405</v>
      </c>
      <c r="O129" s="2"/>
      <c r="P129" s="2"/>
      <c r="Q129" s="2"/>
      <c r="R129" s="2" t="str">
        <f>IFERROR(__xludf.DUMMYFUNCTION("SPARKLINE((J129-MIN($J129:$N129))/SUMPRODUCT($J129:$N129-MIN($J129:$N129)), {""charttype"",""bar""; ""max"",1; ""color1"",""#4285F4""})"),"")</f>
        <v/>
      </c>
      <c r="S129" s="2" t="str">
        <f>IFERROR(__xludf.DUMMYFUNCTION("SPARKLINE((K129-MIN($J129:$N129))/SUMPRODUCT($J129:$N129-MIN($J129:$N129)), {""charttype"",""bar""; ""max"",1; ""color1"",""#4285F4""})"),"")</f>
        <v/>
      </c>
      <c r="T129" s="2" t="str">
        <f>IFERROR(__xludf.DUMMYFUNCTION("SPARKLINE((L129-MIN($J129:$N129))/SUMPRODUCT($J129:$N129-MIN($J129:$N129)), {""charttype"",""bar""; ""max"",1; ""color1"",""#4285F4""})"),"")</f>
        <v/>
      </c>
      <c r="U129" s="2" t="str">
        <f>IFERROR(__xludf.DUMMYFUNCTION("SPARKLINE((M129-MIN($J129:$N129))/SUMPRODUCT($J129:$N129-MIN($J129:$N129)), {""charttype"",""bar""; ""max"",1; ""color1"",""#4285F4""})"),"")</f>
        <v/>
      </c>
      <c r="V129" s="2" t="str">
        <f>IFERROR(__xludf.DUMMYFUNCTION("SPARKLINE((N129-MIN($J129:$N129))/SUMPRODUCT($J129:$N129-MIN($J129:$N129)), {""charttype"",""bar""; ""max"",1; ""color1"",""#4285F4""})"),"")</f>
        <v/>
      </c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6" t="s">
        <v>23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6" t="s">
        <v>23</v>
      </c>
      <c r="M131" s="2"/>
      <c r="N131" s="2"/>
      <c r="O131" s="16" t="s">
        <v>27</v>
      </c>
      <c r="P131" s="17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4" t="s">
        <v>28</v>
      </c>
      <c r="J132" s="19"/>
      <c r="K132" s="20"/>
      <c r="L132" s="20"/>
      <c r="M132" s="20"/>
      <c r="N132" s="21"/>
      <c r="O132" s="22"/>
      <c r="P132" s="2"/>
      <c r="Q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3"/>
      <c r="K133" s="5"/>
      <c r="L133" s="5"/>
      <c r="M133" s="5"/>
      <c r="N133" s="24"/>
      <c r="O133" s="22"/>
      <c r="P133" s="2"/>
      <c r="Q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3"/>
      <c r="K134" s="5"/>
      <c r="L134" s="5"/>
      <c r="M134" s="5"/>
      <c r="N134" s="24"/>
      <c r="O134" s="22"/>
      <c r="P134" s="2"/>
      <c r="Q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3"/>
      <c r="K135" s="5"/>
      <c r="L135" s="5"/>
      <c r="M135" s="5"/>
      <c r="N135" s="24"/>
      <c r="O135" s="22"/>
      <c r="P135" s="2"/>
      <c r="Q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5"/>
      <c r="K136" s="26"/>
      <c r="L136" s="26"/>
      <c r="M136" s="26"/>
      <c r="N136" s="27"/>
      <c r="O136" s="22"/>
      <c r="P136" s="2"/>
      <c r="Q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6" t="s">
        <v>23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J138" s="2"/>
      <c r="K138" s="2"/>
      <c r="L138" s="6" t="s">
        <v>23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4" t="s">
        <v>29</v>
      </c>
      <c r="J139" s="7"/>
      <c r="K139" s="7"/>
      <c r="L139" s="7"/>
      <c r="M139" s="7"/>
      <c r="N139" s="7"/>
      <c r="O139" s="2"/>
      <c r="P139" s="2"/>
      <c r="Q139" s="2"/>
      <c r="R139" s="2" t="str">
        <f>IFERROR(__xludf.DUMMYFUNCTION("SPARKLINE(J132/$O132, {""charttype"",""bar""; ""max"",1; ""color1"",""#4285F4""})"),"#DIV/0!")</f>
        <v>#DIV/0!</v>
      </c>
      <c r="S139" s="2" t="str">
        <f>IFERROR(__xludf.DUMMYFUNCTION("SPARKLINE(K132/$O132, {""charttype"",""bar""; ""max"",1; ""color1"",""#4285F4""})"),"#DIV/0!")</f>
        <v>#DIV/0!</v>
      </c>
      <c r="T139" s="2" t="str">
        <f>IFERROR(__xludf.DUMMYFUNCTION("SPARKLINE(L132/$O132, {""charttype"",""bar""; ""max"",1; ""color1"",""#4285F4""})"),"#DIV/0!")</f>
        <v>#DIV/0!</v>
      </c>
      <c r="U139" s="2" t="str">
        <f>IFERROR(__xludf.DUMMYFUNCTION("SPARKLINE(M132/$O132, {""charttype"",""bar""; ""max"",1; ""color1"",""#4285F4""})"),"#DIV/0!")</f>
        <v>#DIV/0!</v>
      </c>
      <c r="V139" s="2" t="str">
        <f>IFERROR(__xludf.DUMMYFUNCTION("SPARKLINE(N132/$O132, {""charttype"",""bar""; ""max"",1; ""color1"",""#4285F4""})"),"#DIV/0!")</f>
        <v>#DIV/0!</v>
      </c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7"/>
      <c r="K140" s="7"/>
      <c r="L140" s="7"/>
      <c r="M140" s="7"/>
      <c r="N140" s="7"/>
      <c r="O140" s="2"/>
      <c r="P140" s="2"/>
      <c r="Q140" s="2"/>
      <c r="R140" s="2" t="str">
        <f>IFERROR(__xludf.DUMMYFUNCTION("SPARKLINE(J133/$O133, {""charttype"",""bar""; ""max"",1; ""color1"",""#4285F4""})"),"#DIV/0!")</f>
        <v>#DIV/0!</v>
      </c>
      <c r="S140" s="2" t="str">
        <f>IFERROR(__xludf.DUMMYFUNCTION("SPARKLINE(K133/$O133, {""charttype"",""bar""; ""max"",1; ""color1"",""#4285F4""})"),"#DIV/0!")</f>
        <v>#DIV/0!</v>
      </c>
      <c r="T140" s="2" t="str">
        <f>IFERROR(__xludf.DUMMYFUNCTION("SPARKLINE(L133/$O133, {""charttype"",""bar""; ""max"",1; ""color1"",""#4285F4""})"),"#DIV/0!")</f>
        <v>#DIV/0!</v>
      </c>
      <c r="U140" s="2" t="str">
        <f>IFERROR(__xludf.DUMMYFUNCTION("SPARKLINE(M133/$O133, {""charttype"",""bar""; ""max"",1; ""color1"",""#4285F4""})"),"#DIV/0!")</f>
        <v>#DIV/0!</v>
      </c>
      <c r="V140" s="2" t="str">
        <f>IFERROR(__xludf.DUMMYFUNCTION("SPARKLINE(N133/$O133, {""charttype"",""bar""; ""max"",1; ""color1"",""#4285F4""})"),"#DIV/0!")</f>
        <v>#DIV/0!</v>
      </c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7"/>
      <c r="K141" s="7"/>
      <c r="L141" s="7"/>
      <c r="M141" s="7"/>
      <c r="N141" s="7"/>
      <c r="O141" s="2"/>
      <c r="P141" s="2"/>
      <c r="Q141" s="2"/>
      <c r="R141" s="2" t="str">
        <f>IFERROR(__xludf.DUMMYFUNCTION("SPARKLINE(J134/$O134, {""charttype"",""bar""; ""max"",1; ""color1"",""#4285F4""})"),"#DIV/0!")</f>
        <v>#DIV/0!</v>
      </c>
      <c r="S141" s="2" t="str">
        <f>IFERROR(__xludf.DUMMYFUNCTION("SPARKLINE(K134/$O134, {""charttype"",""bar""; ""max"",1; ""color1"",""#4285F4""})"),"#DIV/0!")</f>
        <v>#DIV/0!</v>
      </c>
      <c r="T141" s="2" t="str">
        <f>IFERROR(__xludf.DUMMYFUNCTION("SPARKLINE(L134/$O134, {""charttype"",""bar""; ""max"",1; ""color1"",""#4285F4""})"),"#DIV/0!")</f>
        <v>#DIV/0!</v>
      </c>
      <c r="U141" s="2" t="str">
        <f>IFERROR(__xludf.DUMMYFUNCTION("SPARKLINE(M134/$O134, {""charttype"",""bar""; ""max"",1; ""color1"",""#4285F4""})"),"#DIV/0!")</f>
        <v>#DIV/0!</v>
      </c>
      <c r="V141" s="2" t="str">
        <f>IFERROR(__xludf.DUMMYFUNCTION("SPARKLINE(N134/$O134, {""charttype"",""bar""; ""max"",1; ""color1"",""#4285F4""})"),"#DIV/0!")</f>
        <v>#DIV/0!</v>
      </c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7"/>
      <c r="K142" s="7"/>
      <c r="L142" s="7"/>
      <c r="M142" s="7"/>
      <c r="N142" s="7"/>
      <c r="O142" s="2"/>
      <c r="P142" s="2"/>
      <c r="Q142" s="2"/>
      <c r="R142" s="2" t="str">
        <f>IFERROR(__xludf.DUMMYFUNCTION("SPARKLINE(J135/$O135, {""charttype"",""bar""; ""max"",1; ""color1"",""#4285F4""})"),"#DIV/0!")</f>
        <v>#DIV/0!</v>
      </c>
      <c r="S142" s="2" t="str">
        <f>IFERROR(__xludf.DUMMYFUNCTION("SPARKLINE(K135/$O135, {""charttype"",""bar""; ""max"",1; ""color1"",""#4285F4""})"),"#DIV/0!")</f>
        <v>#DIV/0!</v>
      </c>
      <c r="T142" s="2" t="str">
        <f>IFERROR(__xludf.DUMMYFUNCTION("SPARKLINE(L135/$O135, {""charttype"",""bar""; ""max"",1; ""color1"",""#4285F4""})"),"#DIV/0!")</f>
        <v>#DIV/0!</v>
      </c>
      <c r="U142" s="2" t="str">
        <f>IFERROR(__xludf.DUMMYFUNCTION("SPARKLINE(M135/$O135, {""charttype"",""bar""; ""max"",1; ""color1"",""#4285F4""})"),"#DIV/0!")</f>
        <v>#DIV/0!</v>
      </c>
      <c r="V142" s="2" t="str">
        <f>IFERROR(__xludf.DUMMYFUNCTION("SPARKLINE(N135/$O135, {""charttype"",""bar""; ""max"",1; ""color1"",""#4285F4""})"),"#DIV/0!")</f>
        <v>#DIV/0!</v>
      </c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7"/>
      <c r="K143" s="7"/>
      <c r="L143" s="7"/>
      <c r="M143" s="7"/>
      <c r="N143" s="7"/>
      <c r="O143" s="2"/>
      <c r="P143" s="2"/>
      <c r="Q143" s="2"/>
      <c r="R143" s="2" t="str">
        <f>IFERROR(__xludf.DUMMYFUNCTION("SPARKLINE(J136/$O136, {""charttype"",""bar""; ""max"",1; ""color1"",""#4285F4""})"),"#DIV/0!")</f>
        <v>#DIV/0!</v>
      </c>
      <c r="S143" s="2" t="str">
        <f>IFERROR(__xludf.DUMMYFUNCTION("SPARKLINE(K136/$O136, {""charttype"",""bar""; ""max"",1; ""color1"",""#4285F4""})"),"#DIV/0!")</f>
        <v>#DIV/0!</v>
      </c>
      <c r="T143" s="2" t="str">
        <f>IFERROR(__xludf.DUMMYFUNCTION("SPARKLINE(L136/$O136, {""charttype"",""bar""; ""max"",1; ""color1"",""#4285F4""})"),"#DIV/0!")</f>
        <v>#DIV/0!</v>
      </c>
      <c r="U143" s="2" t="str">
        <f>IFERROR(__xludf.DUMMYFUNCTION("SPARKLINE(M136/$O136, {""charttype"",""bar""; ""max"",1; ""color1"",""#4285F4""})"),"#DIV/0!")</f>
        <v>#DIV/0!</v>
      </c>
      <c r="V143" s="2" t="str">
        <f>IFERROR(__xludf.DUMMYFUNCTION("SPARKLINE(N136/$O136, {""charttype"",""bar""; ""max"",1; ""color1"",""#4285F4""})"),"#DIV/0!")</f>
        <v>#DIV/0!</v>
      </c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7">
    <mergeCell ref="A2:Z2"/>
    <mergeCell ref="A7:Z7"/>
    <mergeCell ref="A36:Z36"/>
    <mergeCell ref="A61:Z61"/>
    <mergeCell ref="A90:Z90"/>
    <mergeCell ref="A116:Z116"/>
    <mergeCell ref="O131:P131"/>
  </mergeCells>
  <conditionalFormatting sqref="J132:N136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2">
      <colorScale>
        <cfvo type="min"/>
        <cfvo type="max"/>
        <color rgb="FFFFFFFF"/>
        <color rgb="FF57BB8A"/>
      </colorScale>
    </cfRule>
  </conditionalFormatting>
  <conditionalFormatting sqref="C125:G12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8:N122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38"/>
    <col customWidth="1" min="3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L4" si="1">norminv(rand(), 0, 7)</f>
        <v>5.430245104</v>
      </c>
      <c r="D4" s="5">
        <f t="shared" si="1"/>
        <v>-0.5420290292</v>
      </c>
      <c r="E4" s="5">
        <f t="shared" si="1"/>
        <v>-5.552355924</v>
      </c>
      <c r="F4" s="5">
        <f t="shared" si="1"/>
        <v>2.495742665</v>
      </c>
      <c r="G4" s="5">
        <f t="shared" si="1"/>
        <v>3.166775513</v>
      </c>
      <c r="H4" s="5">
        <f t="shared" si="1"/>
        <v>6.370457324</v>
      </c>
      <c r="I4" s="5">
        <f t="shared" si="1"/>
        <v>2.497985068</v>
      </c>
      <c r="J4" s="5">
        <f t="shared" si="1"/>
        <v>3.918564369</v>
      </c>
      <c r="K4" s="5">
        <f t="shared" si="1"/>
        <v>-0.1076894025</v>
      </c>
      <c r="L4" s="5">
        <f t="shared" si="1"/>
        <v>4.642634034</v>
      </c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" t="s">
        <v>1</v>
      </c>
      <c r="C9" s="5">
        <f t="shared" ref="C9:L9" si="2">C$4</f>
        <v>5.430245104</v>
      </c>
      <c r="D9" s="5">
        <f t="shared" si="2"/>
        <v>-0.5420290292</v>
      </c>
      <c r="E9" s="5">
        <f t="shared" si="2"/>
        <v>-5.552355924</v>
      </c>
      <c r="F9" s="5">
        <f t="shared" si="2"/>
        <v>2.495742665</v>
      </c>
      <c r="G9" s="5">
        <f t="shared" si="2"/>
        <v>3.166775513</v>
      </c>
      <c r="H9" s="5">
        <f t="shared" si="2"/>
        <v>6.370457324</v>
      </c>
      <c r="I9" s="5">
        <f t="shared" si="2"/>
        <v>2.497985068</v>
      </c>
      <c r="J9" s="5">
        <f t="shared" si="2"/>
        <v>3.918564369</v>
      </c>
      <c r="K9" s="5">
        <f t="shared" si="2"/>
        <v>-0.1076894025</v>
      </c>
      <c r="L9" s="5">
        <f t="shared" si="2"/>
        <v>4.642634034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4" t="s">
        <v>4</v>
      </c>
      <c r="C11" s="5">
        <f>min(C9:L9)</f>
        <v>-5.552355924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"/>
      <c r="S11" s="2"/>
      <c r="T11" s="2"/>
      <c r="U11" s="2"/>
      <c r="V11" s="2"/>
      <c r="W11" s="2"/>
      <c r="X11" s="2"/>
      <c r="Y11" s="2"/>
      <c r="Z11" s="2"/>
    </row>
    <row r="12">
      <c r="B12" s="4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6"/>
      <c r="S12" s="2"/>
      <c r="T12" s="2"/>
      <c r="U12" s="2"/>
      <c r="V12" s="2"/>
      <c r="W12" s="2"/>
      <c r="X12" s="2"/>
      <c r="Y12" s="2"/>
      <c r="Z12" s="2"/>
    </row>
    <row r="13">
      <c r="B13" s="4" t="s">
        <v>5</v>
      </c>
      <c r="C13" s="5">
        <f t="shared" ref="C13:L13" si="3">C9-$C$11</f>
        <v>10.98260103</v>
      </c>
      <c r="D13" s="5">
        <f t="shared" si="3"/>
        <v>5.010326895</v>
      </c>
      <c r="E13" s="5">
        <f t="shared" si="3"/>
        <v>0</v>
      </c>
      <c r="F13" s="5">
        <f t="shared" si="3"/>
        <v>8.048098589</v>
      </c>
      <c r="G13" s="5">
        <f t="shared" si="3"/>
        <v>8.719131437</v>
      </c>
      <c r="H13" s="5">
        <f t="shared" si="3"/>
        <v>11.92281325</v>
      </c>
      <c r="I13" s="5">
        <f t="shared" si="3"/>
        <v>8.050340992</v>
      </c>
      <c r="J13" s="5">
        <f t="shared" si="3"/>
        <v>9.470920293</v>
      </c>
      <c r="K13" s="5">
        <f t="shared" si="3"/>
        <v>5.444666522</v>
      </c>
      <c r="L13" s="5">
        <f t="shared" si="3"/>
        <v>10.19498996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6</v>
      </c>
      <c r="C15" s="5">
        <f>sum(C13:L13)</f>
        <v>77.84388896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4" t="s">
        <v>7</v>
      </c>
      <c r="C17" s="7">
        <f t="shared" ref="C17:L17" si="4">C13/$C15</f>
        <v>0.141084948</v>
      </c>
      <c r="D17" s="7">
        <f t="shared" si="4"/>
        <v>0.06436377937</v>
      </c>
      <c r="E17" s="7">
        <f t="shared" si="4"/>
        <v>0</v>
      </c>
      <c r="F17" s="7">
        <f t="shared" si="4"/>
        <v>0.1033876737</v>
      </c>
      <c r="G17" s="7">
        <f t="shared" si="4"/>
        <v>0.1120079116</v>
      </c>
      <c r="H17" s="7">
        <f t="shared" si="4"/>
        <v>0.1531631244</v>
      </c>
      <c r="I17" s="7">
        <f t="shared" si="4"/>
        <v>0.1034164801</v>
      </c>
      <c r="J17" s="7">
        <f t="shared" si="4"/>
        <v>0.1216655594</v>
      </c>
      <c r="K17" s="7">
        <f t="shared" si="4"/>
        <v>0.06994340332</v>
      </c>
      <c r="L17" s="7">
        <f t="shared" si="4"/>
        <v>0.1309671201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8</v>
      </c>
      <c r="C18" s="2">
        <f t="array" ref="C18:L18">SEQUENCE(1, 10, 1)</f>
        <v>1</v>
      </c>
      <c r="D18" s="2">
        <v>2.0</v>
      </c>
      <c r="E18" s="2">
        <v>3.0</v>
      </c>
      <c r="F18" s="2">
        <v>4.0</v>
      </c>
      <c r="G18" s="2">
        <v>5.0</v>
      </c>
      <c r="H18" s="2">
        <v>6.0</v>
      </c>
      <c r="I18" s="2">
        <v>7.0</v>
      </c>
      <c r="J18" s="2">
        <v>8.0</v>
      </c>
      <c r="K18" s="2">
        <v>9.0</v>
      </c>
      <c r="L18" s="2">
        <v>10.0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9</v>
      </c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4" t="s">
        <v>10</v>
      </c>
      <c r="C38" s="8">
        <f t="array" ref="C38:L38">SEQUENCE(1, 10, -2, 0.3)</f>
        <v>-2</v>
      </c>
      <c r="D38" s="8">
        <v>-1.7</v>
      </c>
      <c r="E38" s="8">
        <v>-1.4</v>
      </c>
      <c r="F38" s="8">
        <v>-1.0999999999999999</v>
      </c>
      <c r="G38" s="8">
        <v>-0.7999999999999998</v>
      </c>
      <c r="H38" s="8">
        <v>-0.49999999999999983</v>
      </c>
      <c r="I38" s="8">
        <v>-0.19999999999999984</v>
      </c>
      <c r="J38" s="8">
        <v>0.10000000000000014</v>
      </c>
      <c r="K38" s="8">
        <v>0.40000000000000013</v>
      </c>
      <c r="L38" s="8">
        <v>0.7000000000000002</v>
      </c>
      <c r="M38" s="2">
        <f t="array" ref="M38:V38">SEQUENCE(1, 10, 1)</f>
        <v>1</v>
      </c>
      <c r="N38" s="2">
        <v>2.0</v>
      </c>
      <c r="O38" s="2">
        <v>3.0</v>
      </c>
      <c r="P38" s="2">
        <v>4.0</v>
      </c>
      <c r="Q38" s="2">
        <v>5.0</v>
      </c>
      <c r="R38" s="2">
        <v>6.0</v>
      </c>
      <c r="S38" s="2">
        <v>7.0</v>
      </c>
      <c r="T38" s="2">
        <v>8.0</v>
      </c>
      <c r="U38" s="2">
        <v>9.0</v>
      </c>
      <c r="V38" s="2">
        <v>10.0</v>
      </c>
      <c r="W38" s="2"/>
      <c r="X38" s="2"/>
      <c r="Y38" s="2"/>
      <c r="Z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11</v>
      </c>
      <c r="C40" s="5">
        <f t="shared" ref="C40:V40" si="5">exp(C38)</f>
        <v>0.1353352832</v>
      </c>
      <c r="D40" s="5">
        <f t="shared" si="5"/>
        <v>0.1826835241</v>
      </c>
      <c r="E40" s="5">
        <f t="shared" si="5"/>
        <v>0.2465969639</v>
      </c>
      <c r="F40" s="5">
        <f t="shared" si="5"/>
        <v>0.3328710837</v>
      </c>
      <c r="G40" s="5">
        <f t="shared" si="5"/>
        <v>0.4493289641</v>
      </c>
      <c r="H40" s="5">
        <f t="shared" si="5"/>
        <v>0.6065306597</v>
      </c>
      <c r="I40" s="5">
        <f t="shared" si="5"/>
        <v>0.8187307531</v>
      </c>
      <c r="J40" s="5">
        <f t="shared" si="5"/>
        <v>1.105170918</v>
      </c>
      <c r="K40" s="5">
        <f t="shared" si="5"/>
        <v>1.491824698</v>
      </c>
      <c r="L40" s="5">
        <f t="shared" si="5"/>
        <v>2.013752707</v>
      </c>
      <c r="M40" s="5">
        <f t="shared" si="5"/>
        <v>2.718281828</v>
      </c>
      <c r="N40" s="5">
        <f t="shared" si="5"/>
        <v>7.389056099</v>
      </c>
      <c r="O40" s="5">
        <f t="shared" si="5"/>
        <v>20.08553692</v>
      </c>
      <c r="P40" s="5">
        <f t="shared" si="5"/>
        <v>54.59815003</v>
      </c>
      <c r="Q40" s="5">
        <f t="shared" si="5"/>
        <v>148.4131591</v>
      </c>
      <c r="R40" s="5">
        <f t="shared" si="5"/>
        <v>403.4287935</v>
      </c>
      <c r="S40" s="5">
        <f t="shared" si="5"/>
        <v>1096.633158</v>
      </c>
      <c r="T40" s="5">
        <f t="shared" si="5"/>
        <v>2980.957987</v>
      </c>
      <c r="U40" s="5">
        <f t="shared" si="5"/>
        <v>8103.083928</v>
      </c>
      <c r="V40" s="5">
        <f t="shared" si="5"/>
        <v>22026.46579</v>
      </c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13</v>
      </c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4" t="s">
        <v>1</v>
      </c>
      <c r="C63" s="5">
        <f t="shared" ref="C63:L63" si="6">C$4</f>
        <v>5.430245104</v>
      </c>
      <c r="D63" s="5">
        <f t="shared" si="6"/>
        <v>-0.5420290292</v>
      </c>
      <c r="E63" s="5">
        <f t="shared" si="6"/>
        <v>-5.552355924</v>
      </c>
      <c r="F63" s="5">
        <f t="shared" si="6"/>
        <v>2.495742665</v>
      </c>
      <c r="G63" s="5">
        <f t="shared" si="6"/>
        <v>3.166775513</v>
      </c>
      <c r="H63" s="5">
        <f t="shared" si="6"/>
        <v>6.370457324</v>
      </c>
      <c r="I63" s="5">
        <f t="shared" si="6"/>
        <v>2.497985068</v>
      </c>
      <c r="J63" s="5">
        <f t="shared" si="6"/>
        <v>3.918564369</v>
      </c>
      <c r="K63" s="5">
        <f t="shared" si="6"/>
        <v>-0.1076894025</v>
      </c>
      <c r="L63" s="5">
        <f t="shared" si="6"/>
        <v>4.642634034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4" t="s">
        <v>11</v>
      </c>
      <c r="C65" s="13">
        <f t="shared" ref="C65:L65" si="7">exp(C63)</f>
        <v>228.2051726</v>
      </c>
      <c r="D65" s="13">
        <f t="shared" si="7"/>
        <v>0.5815670379</v>
      </c>
      <c r="E65" s="13">
        <f t="shared" si="7"/>
        <v>0.003878309469</v>
      </c>
      <c r="F65" s="13">
        <f t="shared" si="7"/>
        <v>12.13073925</v>
      </c>
      <c r="G65" s="13">
        <f t="shared" si="7"/>
        <v>23.73084107</v>
      </c>
      <c r="H65" s="13">
        <f t="shared" si="7"/>
        <v>584.3249939</v>
      </c>
      <c r="I65" s="13">
        <f t="shared" si="7"/>
        <v>12.15797177</v>
      </c>
      <c r="J65" s="13">
        <f t="shared" si="7"/>
        <v>50.32814025</v>
      </c>
      <c r="K65" s="13">
        <f t="shared" si="7"/>
        <v>0.8979064406</v>
      </c>
      <c r="L65" s="13">
        <f t="shared" si="7"/>
        <v>103.8174465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4" t="s">
        <v>14</v>
      </c>
      <c r="C66" s="13">
        <f>sum(C65:L65)</f>
        <v>1016.178657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4" t="s">
        <v>15</v>
      </c>
      <c r="C68" s="7">
        <f t="shared" ref="C68:L68" si="8">C65/$C66</f>
        <v>0.2245719008</v>
      </c>
      <c r="D68" s="7">
        <f t="shared" si="8"/>
        <v>0.0005723078652</v>
      </c>
      <c r="E68" s="7">
        <f t="shared" si="8"/>
        <v>0.000003816562612</v>
      </c>
      <c r="F68" s="7">
        <f t="shared" si="8"/>
        <v>0.01193760483</v>
      </c>
      <c r="G68" s="7">
        <f t="shared" si="8"/>
        <v>0.02335302056</v>
      </c>
      <c r="H68" s="7">
        <f t="shared" si="8"/>
        <v>0.5750219116</v>
      </c>
      <c r="I68" s="7">
        <f t="shared" si="8"/>
        <v>0.01196440379</v>
      </c>
      <c r="J68" s="7">
        <f t="shared" si="8"/>
        <v>0.04952686213</v>
      </c>
      <c r="K68" s="7">
        <f t="shared" si="8"/>
        <v>0.0008836108044</v>
      </c>
      <c r="L68" s="7">
        <f t="shared" si="8"/>
        <v>0.1021645611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4" t="s">
        <v>8</v>
      </c>
      <c r="C69" s="2">
        <f t="array" ref="C69:L69">SEQUENCE(1, 10, 1)</f>
        <v>1</v>
      </c>
      <c r="D69" s="2">
        <v>2.0</v>
      </c>
      <c r="E69" s="2">
        <v>3.0</v>
      </c>
      <c r="F69" s="2">
        <v>4.0</v>
      </c>
      <c r="G69" s="2">
        <v>5.0</v>
      </c>
      <c r="H69" s="2">
        <v>6.0</v>
      </c>
      <c r="I69" s="2">
        <v>7.0</v>
      </c>
      <c r="J69" s="2">
        <v>8.0</v>
      </c>
      <c r="K69" s="2">
        <v>9.0</v>
      </c>
      <c r="L69" s="2">
        <v>10.0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17</v>
      </c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4" t="s">
        <v>1</v>
      </c>
      <c r="C92" s="14">
        <f t="shared" ref="C92:L92" si="9">C$4</f>
        <v>5.430245104</v>
      </c>
      <c r="D92" s="14">
        <f t="shared" si="9"/>
        <v>-0.5420290292</v>
      </c>
      <c r="E92" s="14">
        <f t="shared" si="9"/>
        <v>-5.552355924</v>
      </c>
      <c r="F92" s="14">
        <f t="shared" si="9"/>
        <v>2.495742665</v>
      </c>
      <c r="G92" s="14">
        <f t="shared" si="9"/>
        <v>3.166775513</v>
      </c>
      <c r="H92" s="14">
        <f t="shared" si="9"/>
        <v>6.370457324</v>
      </c>
      <c r="I92" s="14">
        <f t="shared" si="9"/>
        <v>2.497985068</v>
      </c>
      <c r="J92" s="14">
        <f t="shared" si="9"/>
        <v>3.918564369</v>
      </c>
      <c r="K92" s="14">
        <f t="shared" si="9"/>
        <v>-0.1076894025</v>
      </c>
      <c r="L92" s="14">
        <f t="shared" si="9"/>
        <v>4.642634034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4" t="s">
        <v>7</v>
      </c>
      <c r="C93" s="7">
        <f t="shared" ref="C93:L93" si="10">C17</f>
        <v>0.141084948</v>
      </c>
      <c r="D93" s="7">
        <f t="shared" si="10"/>
        <v>0.06436377937</v>
      </c>
      <c r="E93" s="7">
        <f t="shared" si="10"/>
        <v>0</v>
      </c>
      <c r="F93" s="7">
        <f t="shared" si="10"/>
        <v>0.1033876737</v>
      </c>
      <c r="G93" s="7">
        <f t="shared" si="10"/>
        <v>0.1120079116</v>
      </c>
      <c r="H93" s="7">
        <f t="shared" si="10"/>
        <v>0.1531631244</v>
      </c>
      <c r="I93" s="7">
        <f t="shared" si="10"/>
        <v>0.1034164801</v>
      </c>
      <c r="J93" s="7">
        <f t="shared" si="10"/>
        <v>0.1216655594</v>
      </c>
      <c r="K93" s="7">
        <f t="shared" si="10"/>
        <v>0.06994340332</v>
      </c>
      <c r="L93" s="7">
        <f t="shared" si="10"/>
        <v>0.1309671201</v>
      </c>
      <c r="M93" s="2"/>
      <c r="N93" s="15" t="s">
        <v>18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15</v>
      </c>
      <c r="C94" s="7">
        <f t="shared" ref="C94:L94" si="11">C68</f>
        <v>0.2245719008</v>
      </c>
      <c r="D94" s="7">
        <f t="shared" si="11"/>
        <v>0.0005723078652</v>
      </c>
      <c r="E94" s="7">
        <f t="shared" si="11"/>
        <v>0.000003816562612</v>
      </c>
      <c r="F94" s="7">
        <f t="shared" si="11"/>
        <v>0.01193760483</v>
      </c>
      <c r="G94" s="7">
        <f t="shared" si="11"/>
        <v>0.02335302056</v>
      </c>
      <c r="H94" s="7">
        <f t="shared" si="11"/>
        <v>0.5750219116</v>
      </c>
      <c r="I94" s="7">
        <f t="shared" si="11"/>
        <v>0.01196440379</v>
      </c>
      <c r="J94" s="7">
        <f t="shared" si="11"/>
        <v>0.04952686213</v>
      </c>
      <c r="K94" s="7">
        <f t="shared" si="11"/>
        <v>0.0008836108044</v>
      </c>
      <c r="L94" s="7">
        <f t="shared" si="11"/>
        <v>0.1021645611</v>
      </c>
      <c r="M94" s="2"/>
      <c r="N94" s="15" t="s">
        <v>19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8</v>
      </c>
      <c r="C95" s="2">
        <v>1.0</v>
      </c>
      <c r="D95" s="2">
        <v>2.0</v>
      </c>
      <c r="E95" s="2">
        <v>3.0</v>
      </c>
      <c r="F95" s="2">
        <v>4.0</v>
      </c>
      <c r="G95" s="2">
        <v>5.0</v>
      </c>
      <c r="H95" s="2">
        <v>6.0</v>
      </c>
      <c r="I95" s="2">
        <v>7.0</v>
      </c>
      <c r="J95" s="2">
        <v>8.0</v>
      </c>
      <c r="K95" s="2">
        <v>9.0</v>
      </c>
      <c r="L95" s="2">
        <v>10.0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21</v>
      </c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4" t="s">
        <v>22</v>
      </c>
      <c r="J118" s="5">
        <f t="shared" ref="J118:N118" si="12">rand()</f>
        <v>0.8448772432</v>
      </c>
      <c r="K118" s="5">
        <f t="shared" si="12"/>
        <v>0.832505026</v>
      </c>
      <c r="L118" s="5">
        <f t="shared" si="12"/>
        <v>0.01587639932</v>
      </c>
      <c r="M118" s="5">
        <f t="shared" si="12"/>
        <v>0.009425872335</v>
      </c>
      <c r="N118" s="5">
        <f t="shared" si="12"/>
        <v>0.628663314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1"/>
      <c r="J119" s="5">
        <f t="shared" ref="J119:N119" si="13">rand()</f>
        <v>0.8119631789</v>
      </c>
      <c r="K119" s="5">
        <f t="shared" si="13"/>
        <v>0.0920237665</v>
      </c>
      <c r="L119" s="5">
        <f t="shared" si="13"/>
        <v>0.1319786719</v>
      </c>
      <c r="M119" s="5">
        <f t="shared" si="13"/>
        <v>0.8620766106</v>
      </c>
      <c r="N119" s="5">
        <f t="shared" si="13"/>
        <v>0.3596793789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1"/>
      <c r="J120" s="5">
        <f t="shared" ref="J120:N120" si="14">rand()</f>
        <v>0.4707483377</v>
      </c>
      <c r="K120" s="5">
        <f t="shared" si="14"/>
        <v>0.248476134</v>
      </c>
      <c r="L120" s="5">
        <f t="shared" si="14"/>
        <v>0.461518837</v>
      </c>
      <c r="M120" s="5">
        <f t="shared" si="14"/>
        <v>0.2479503479</v>
      </c>
      <c r="N120" s="5">
        <f t="shared" si="14"/>
        <v>0.3943671081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1"/>
      <c r="J121" s="5">
        <f t="shared" ref="J121:N121" si="15">rand()</f>
        <v>0.5051742331</v>
      </c>
      <c r="K121" s="5">
        <f t="shared" si="15"/>
        <v>0.5175404423</v>
      </c>
      <c r="L121" s="5">
        <f t="shared" si="15"/>
        <v>0.6096058416</v>
      </c>
      <c r="M121" s="5">
        <f t="shared" si="15"/>
        <v>0.9543481394</v>
      </c>
      <c r="N121" s="5">
        <f t="shared" si="15"/>
        <v>0.3755248197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1"/>
      <c r="J122" s="5">
        <f t="shared" ref="J122:N122" si="16">rand()</f>
        <v>0.5306091099</v>
      </c>
      <c r="K122" s="5">
        <f t="shared" si="16"/>
        <v>0.8869508262</v>
      </c>
      <c r="L122" s="5">
        <f t="shared" si="16"/>
        <v>0.9344891628</v>
      </c>
      <c r="M122" s="5">
        <f t="shared" si="16"/>
        <v>0.6395386797</v>
      </c>
      <c r="N122" s="5">
        <f t="shared" si="16"/>
        <v>0.8120249629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6" t="s">
        <v>23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6" t="s">
        <v>23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4" t="s">
        <v>24</v>
      </c>
      <c r="C125" s="5">
        <f t="shared" ref="C125:G125" si="17">NORMINV(rand(),0, 1)</f>
        <v>0.3213781354</v>
      </c>
      <c r="D125" s="5">
        <f t="shared" si="17"/>
        <v>0.1559815927</v>
      </c>
      <c r="E125" s="5">
        <f t="shared" si="17"/>
        <v>-0.3419602973</v>
      </c>
      <c r="F125" s="5">
        <f t="shared" si="17"/>
        <v>-0.9094332331</v>
      </c>
      <c r="G125" s="5">
        <f t="shared" si="17"/>
        <v>-0.2670441147</v>
      </c>
      <c r="H125" s="2"/>
      <c r="I125" s="4" t="s">
        <v>25</v>
      </c>
      <c r="J125" s="5">
        <f t="array" ref="J125:N129">MMULT(C125:G129,J118:N122)</f>
        <v>-0.3639191347</v>
      </c>
      <c r="K125" s="5">
        <v>-0.5105895219501954</v>
      </c>
      <c r="L125" s="5">
        <v>-0.9360781902848975</v>
      </c>
      <c r="M125" s="5">
        <v>-0.9859927772055246</v>
      </c>
      <c r="N125" s="5">
        <v>-0.4350771257040424</v>
      </c>
      <c r="O125" s="2"/>
      <c r="P125" s="2"/>
      <c r="Q125" s="2"/>
      <c r="R125" s="2" t="str">
        <f>IFERROR(__xludf.DUMMYFUNCTION("SPARKLINE((J125-MIN($J125:$N125))/SUMPRODUCT($J125:$N125-MIN($J125:$N125)), {""charttype"",""bar""; ""max"",1; ""color1"",""#4285F4""})"),"")</f>
        <v/>
      </c>
      <c r="S125" s="2" t="str">
        <f>IFERROR(__xludf.DUMMYFUNCTION("SPARKLINE((K125-MIN($J125:$N125))/SUMPRODUCT($J125:$N125-MIN($J125:$N125)), {""charttype"",""bar""; ""max"",1; ""color1"",""#4285F4""})"),"")</f>
        <v/>
      </c>
      <c r="T125" s="2" t="str">
        <f>IFERROR(__xludf.DUMMYFUNCTION("SPARKLINE((L125-MIN($J125:$N125))/SUMPRODUCT($J125:$N125-MIN($J125:$N125)), {""charttype"",""bar""; ""max"",1; ""color1"",""#4285F4""})"),"")</f>
        <v/>
      </c>
      <c r="U125" s="2" t="str">
        <f>IFERROR(__xludf.DUMMYFUNCTION("SPARKLINE((M125-MIN($J125:$N125))/SUMPRODUCT($J125:$N125-MIN($J125:$N125)), {""charttype"",""bar""; ""max"",1; ""color1"",""#4285F4""})"),"")</f>
        <v/>
      </c>
      <c r="V125" s="2" t="str">
        <f>IFERROR(__xludf.DUMMYFUNCTION("SPARKLINE((N125-MIN($J125:$N125))/SUMPRODUCT($J125:$N125-MIN($J125:$N125)), {""charttype"",""bar""; ""max"",1; ""color1"",""#4285F4""})"),"")</f>
        <v/>
      </c>
      <c r="W125" s="2"/>
      <c r="X125" s="2"/>
      <c r="Y125" s="2"/>
      <c r="Z125" s="2"/>
    </row>
    <row r="126">
      <c r="B126" s="1"/>
      <c r="C126" s="5">
        <f t="shared" ref="C126:G126" si="18">NORMINV(rand(),0, 1)</f>
        <v>0.03098153491</v>
      </c>
      <c r="D126" s="5">
        <f t="shared" si="18"/>
        <v>0.3931470503</v>
      </c>
      <c r="E126" s="5">
        <f t="shared" si="18"/>
        <v>0.9591746085</v>
      </c>
      <c r="F126" s="5">
        <f t="shared" si="18"/>
        <v>0.2964997175</v>
      </c>
      <c r="G126" s="5">
        <f t="shared" si="18"/>
        <v>-0.8480498069</v>
      </c>
      <c r="H126" s="2"/>
      <c r="I126" s="2"/>
      <c r="J126" s="5">
        <v>0.4967274392925019</v>
      </c>
      <c r="K126" s="5">
        <v>-0.2984247275316637</v>
      </c>
      <c r="L126" s="5">
        <v>-0.11668934364447525</v>
      </c>
      <c r="M126" s="5">
        <v>0.3176458824243038</v>
      </c>
      <c r="N126" s="5">
        <v>-0.038143852249894805</v>
      </c>
      <c r="O126" s="2"/>
      <c r="P126" s="2"/>
      <c r="Q126" s="2"/>
      <c r="R126" s="2" t="str">
        <f>IFERROR(__xludf.DUMMYFUNCTION("SPARKLINE((J126-MIN($J126:$N126))/SUMPRODUCT($J126:$N126-MIN($J126:$N126)), {""charttype"",""bar""; ""max"",1; ""color1"",""#4285F4""})"),"")</f>
        <v/>
      </c>
      <c r="S126" s="2" t="str">
        <f>IFERROR(__xludf.DUMMYFUNCTION("SPARKLINE((K126-MIN($J126:$N126))/SUMPRODUCT($J126:$N126-MIN($J126:$N126)), {""charttype"",""bar""; ""max"",1; ""color1"",""#4285F4""})"),"")</f>
        <v/>
      </c>
      <c r="T126" s="2" t="str">
        <f>IFERROR(__xludf.DUMMYFUNCTION("SPARKLINE((L126-MIN($J126:$N126))/SUMPRODUCT($J126:$N126-MIN($J126:$N126)), {""charttype"",""bar""; ""max"",1; ""color1"",""#4285F4""})"),"")</f>
        <v/>
      </c>
      <c r="U126" s="2" t="str">
        <f>IFERROR(__xludf.DUMMYFUNCTION("SPARKLINE((M126-MIN($J126:$N126))/SUMPRODUCT($J126:$N126-MIN($J126:$N126)), {""charttype"",""bar""; ""max"",1; ""color1"",""#4285F4""})"),"")</f>
        <v/>
      </c>
      <c r="V126" s="2" t="str">
        <f>IFERROR(__xludf.DUMMYFUNCTION("SPARKLINE((N126-MIN($J126:$N126))/SUMPRODUCT($J126:$N126-MIN($J126:$N126)), {""charttype"",""bar""; ""max"",1; ""color1"",""#4285F4""})"),"")</f>
        <v/>
      </c>
      <c r="W126" s="2"/>
      <c r="X126" s="2"/>
      <c r="Y126" s="2"/>
      <c r="Z126" s="2"/>
    </row>
    <row r="127">
      <c r="B127" s="1"/>
      <c r="C127" s="5">
        <f t="shared" ref="C127:G127" si="19">NORMINV(rand(),0, 1)</f>
        <v>1.25812408</v>
      </c>
      <c r="D127" s="5">
        <f t="shared" si="19"/>
        <v>0.4109754641</v>
      </c>
      <c r="E127" s="5">
        <f t="shared" si="19"/>
        <v>0.8855756487</v>
      </c>
      <c r="F127" s="5">
        <f t="shared" si="19"/>
        <v>-0.5489755096</v>
      </c>
      <c r="G127" s="5">
        <f t="shared" si="19"/>
        <v>-0.7710361088</v>
      </c>
      <c r="H127" s="6" t="s">
        <v>26</v>
      </c>
      <c r="I127" s="6" t="s">
        <v>26</v>
      </c>
      <c r="J127" s="5">
        <v>1.1270935478688335</v>
      </c>
      <c r="K127" s="5">
        <v>0.33727040184820434</v>
      </c>
      <c r="L127" s="5">
        <v>-0.5722592456157318</v>
      </c>
      <c r="M127" s="5">
        <v>-0.4312911289185287</v>
      </c>
      <c r="N127" s="5">
        <v>0.4557432639422795</v>
      </c>
      <c r="O127" s="2"/>
      <c r="P127" s="2"/>
      <c r="Q127" s="2"/>
      <c r="R127" s="2" t="str">
        <f>IFERROR(__xludf.DUMMYFUNCTION("SPARKLINE((J127-MIN($J127:$N127))/SUMPRODUCT($J127:$N127-MIN($J127:$N127)), {""charttype"",""bar""; ""max"",1; ""color1"",""#4285F4""})"),"")</f>
        <v/>
      </c>
      <c r="S127" s="2" t="str">
        <f>IFERROR(__xludf.DUMMYFUNCTION("SPARKLINE((K127-MIN($J127:$N127))/SUMPRODUCT($J127:$N127-MIN($J127:$N127)), {""charttype"",""bar""; ""max"",1; ""color1"",""#4285F4""})"),"")</f>
        <v/>
      </c>
      <c r="T127" s="2" t="str">
        <f>IFERROR(__xludf.DUMMYFUNCTION("SPARKLINE((L127-MIN($J127:$N127))/SUMPRODUCT($J127:$N127-MIN($J127:$N127)), {""charttype"",""bar""; ""max"",1; ""color1"",""#4285F4""})"),"")</f>
        <v/>
      </c>
      <c r="U127" s="2" t="str">
        <f>IFERROR(__xludf.DUMMYFUNCTION("SPARKLINE((M127-MIN($J127:$N127))/SUMPRODUCT($J127:$N127-MIN($J127:$N127)), {""charttype"",""bar""; ""max"",1; ""color1"",""#4285F4""})"),"")</f>
        <v/>
      </c>
      <c r="V127" s="2" t="str">
        <f>IFERROR(__xludf.DUMMYFUNCTION("SPARKLINE((N127-MIN($J127:$N127))/SUMPRODUCT($J127:$N127-MIN($J127:$N127)), {""charttype"",""bar""; ""max"",1; ""color1"",""#4285F4""})"),"")</f>
        <v/>
      </c>
      <c r="W127" s="2"/>
      <c r="X127" s="2"/>
      <c r="Y127" s="2"/>
      <c r="Z127" s="2"/>
    </row>
    <row r="128">
      <c r="B128" s="1"/>
      <c r="C128" s="5">
        <f t="shared" ref="C128:G128" si="20">NORMINV(rand(),0, 1)</f>
        <v>-0.7244220579</v>
      </c>
      <c r="D128" s="5">
        <f t="shared" si="20"/>
        <v>-0.4436471237</v>
      </c>
      <c r="E128" s="5">
        <f t="shared" si="20"/>
        <v>-0.9989825339</v>
      </c>
      <c r="F128" s="5">
        <f t="shared" si="20"/>
        <v>1.333561238</v>
      </c>
      <c r="G128" s="5">
        <f t="shared" si="20"/>
        <v>1.524156653</v>
      </c>
      <c r="H128" s="2"/>
      <c r="I128" s="2"/>
      <c r="J128" s="5">
        <v>0.03986997330341946</v>
      </c>
      <c r="K128" s="5">
        <v>1.1498894743457178</v>
      </c>
      <c r="L128" s="5">
        <v>1.7061521661439043</v>
      </c>
      <c r="M128" s="5">
        <v>1.6104546342153385</v>
      </c>
      <c r="N128" s="5">
        <v>0.7294844466787992</v>
      </c>
      <c r="O128" s="2"/>
      <c r="P128" s="2"/>
      <c r="Q128" s="2"/>
      <c r="R128" s="2" t="str">
        <f>IFERROR(__xludf.DUMMYFUNCTION("SPARKLINE((J128-MIN($J128:$N128))/SUMPRODUCT($J128:$N128-MIN($J128:$N128)), {""charttype"",""bar""; ""max"",1; ""color1"",""#4285F4""})"),"")</f>
        <v/>
      </c>
      <c r="S128" s="2" t="str">
        <f>IFERROR(__xludf.DUMMYFUNCTION("SPARKLINE((K128-MIN($J128:$N128))/SUMPRODUCT($J128:$N128-MIN($J128:$N128)), {""charttype"",""bar""; ""max"",1; ""color1"",""#4285F4""})"),"")</f>
        <v/>
      </c>
      <c r="T128" s="2" t="str">
        <f>IFERROR(__xludf.DUMMYFUNCTION("SPARKLINE((L128-MIN($J128:$N128))/SUMPRODUCT($J128:$N128-MIN($J128:$N128)), {""charttype"",""bar""; ""max"",1; ""color1"",""#4285F4""})"),"")</f>
        <v/>
      </c>
      <c r="U128" s="2" t="str">
        <f>IFERROR(__xludf.DUMMYFUNCTION("SPARKLINE((M128-MIN($J128:$N128))/SUMPRODUCT($J128:$N128-MIN($J128:$N128)), {""charttype"",""bar""; ""max"",1; ""color1"",""#4285F4""})"),"")</f>
        <v/>
      </c>
      <c r="V128" s="2" t="str">
        <f>IFERROR(__xludf.DUMMYFUNCTION("SPARKLINE((N128-MIN($J128:$N128))/SUMPRODUCT($J128:$N128-MIN($J128:$N128)), {""charttype"",""bar""; ""max"",1; ""color1"",""#4285F4""})"),"")</f>
        <v/>
      </c>
      <c r="W128" s="2"/>
      <c r="X128" s="2"/>
      <c r="Y128" s="2"/>
      <c r="Z128" s="2"/>
    </row>
    <row r="129">
      <c r="B129" s="1"/>
      <c r="C129" s="5">
        <f t="shared" ref="C129:G129" si="21">NORMINV(rand(),0, 1)</f>
        <v>-2.048549145</v>
      </c>
      <c r="D129" s="5">
        <f t="shared" si="21"/>
        <v>0.6907086543</v>
      </c>
      <c r="E129" s="5">
        <f t="shared" si="21"/>
        <v>-1.504053041</v>
      </c>
      <c r="F129" s="5">
        <f t="shared" si="21"/>
        <v>-0.6582013016</v>
      </c>
      <c r="G129" s="5">
        <f t="shared" si="21"/>
        <v>-0.04291014807</v>
      </c>
      <c r="H129" s="2"/>
      <c r="I129" s="2"/>
      <c r="J129" s="5">
        <v>-2.233247882079545</v>
      </c>
      <c r="K129" s="5">
        <v>-2.3942921163920188</v>
      </c>
      <c r="L129" s="5">
        <v>-1.0768560105431868</v>
      </c>
      <c r="M129" s="5">
        <v>-0.4523919489923377</v>
      </c>
      <c r="N129" s="5">
        <v>-1.9145781193250353</v>
      </c>
      <c r="O129" s="2"/>
      <c r="P129" s="2"/>
      <c r="Q129" s="2"/>
      <c r="R129" s="2" t="str">
        <f>IFERROR(__xludf.DUMMYFUNCTION("SPARKLINE((J129-MIN($J129:$N129))/SUMPRODUCT($J129:$N129-MIN($J129:$N129)), {""charttype"",""bar""; ""max"",1; ""color1"",""#4285F4""})"),"")</f>
        <v/>
      </c>
      <c r="S129" s="2" t="str">
        <f>IFERROR(__xludf.DUMMYFUNCTION("SPARKLINE((K129-MIN($J129:$N129))/SUMPRODUCT($J129:$N129-MIN($J129:$N129)), {""charttype"",""bar""; ""max"",1; ""color1"",""#4285F4""})"),"")</f>
        <v/>
      </c>
      <c r="T129" s="2" t="str">
        <f>IFERROR(__xludf.DUMMYFUNCTION("SPARKLINE((L129-MIN($J129:$N129))/SUMPRODUCT($J129:$N129-MIN($J129:$N129)), {""charttype"",""bar""; ""max"",1; ""color1"",""#4285F4""})"),"")</f>
        <v/>
      </c>
      <c r="U129" s="2" t="str">
        <f>IFERROR(__xludf.DUMMYFUNCTION("SPARKLINE((M129-MIN($J129:$N129))/SUMPRODUCT($J129:$N129-MIN($J129:$N129)), {""charttype"",""bar""; ""max"",1; ""color1"",""#4285F4""})"),"")</f>
        <v/>
      </c>
      <c r="V129" s="2" t="str">
        <f>IFERROR(__xludf.DUMMYFUNCTION("SPARKLINE((N129-MIN($J129:$N129))/SUMPRODUCT($J129:$N129-MIN($J129:$N129)), {""charttype"",""bar""; ""max"",1; ""color1"",""#4285F4""})"),"")</f>
        <v/>
      </c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6" t="s">
        <v>23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6" t="s">
        <v>23</v>
      </c>
      <c r="M131" s="2"/>
      <c r="N131" s="2"/>
      <c r="O131" s="16" t="s">
        <v>27</v>
      </c>
      <c r="P131" s="17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4" t="s">
        <v>28</v>
      </c>
      <c r="J132" s="5">
        <f t="shared" ref="J132:N132" si="22">exp(J125)</f>
        <v>0.6949473896</v>
      </c>
      <c r="K132" s="5">
        <f t="shared" si="22"/>
        <v>0.6001416778</v>
      </c>
      <c r="L132" s="5">
        <f t="shared" si="22"/>
        <v>0.3921628114</v>
      </c>
      <c r="M132" s="5">
        <f t="shared" si="22"/>
        <v>0.373068669</v>
      </c>
      <c r="N132" s="5">
        <f t="shared" si="22"/>
        <v>0.6472147483</v>
      </c>
      <c r="O132" s="18">
        <f t="shared" ref="O132:O136" si="24">Sum(J132:N132)</f>
        <v>2.707535296</v>
      </c>
      <c r="P132" s="2"/>
      <c r="Q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5">
        <f t="shared" ref="J133:N133" si="23">exp(J126)</f>
        <v>1.643334549</v>
      </c>
      <c r="K133" s="5">
        <f t="shared" si="23"/>
        <v>0.7419861309</v>
      </c>
      <c r="L133" s="5">
        <f t="shared" si="23"/>
        <v>0.8898615914</v>
      </c>
      <c r="M133" s="5">
        <f t="shared" si="23"/>
        <v>1.373889657</v>
      </c>
      <c r="N133" s="5">
        <f t="shared" si="23"/>
        <v>0.9625744624</v>
      </c>
      <c r="O133" s="18">
        <f t="shared" si="24"/>
        <v>5.611646391</v>
      </c>
      <c r="P133" s="2"/>
      <c r="Q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5">
        <f t="shared" ref="J134:N134" si="25">exp(J127)</f>
        <v>3.086672185</v>
      </c>
      <c r="K134" s="5">
        <f t="shared" si="25"/>
        <v>1.401117877</v>
      </c>
      <c r="L134" s="5">
        <f t="shared" si="25"/>
        <v>0.56424922</v>
      </c>
      <c r="M134" s="5">
        <f t="shared" si="25"/>
        <v>0.6496697456</v>
      </c>
      <c r="N134" s="5">
        <f t="shared" si="25"/>
        <v>1.577345331</v>
      </c>
      <c r="O134" s="18">
        <f t="shared" si="24"/>
        <v>7.27905436</v>
      </c>
      <c r="P134" s="2"/>
      <c r="Q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5">
        <f t="shared" ref="J135:N135" si="26">exp(J128)</f>
        <v>1.04067545</v>
      </c>
      <c r="K135" s="5">
        <f t="shared" si="26"/>
        <v>3.157843868</v>
      </c>
      <c r="L135" s="5">
        <f t="shared" si="26"/>
        <v>5.50772783</v>
      </c>
      <c r="M135" s="5">
        <f t="shared" si="26"/>
        <v>5.005086194</v>
      </c>
      <c r="N135" s="5">
        <f t="shared" si="26"/>
        <v>2.074011069</v>
      </c>
      <c r="O135" s="18">
        <f t="shared" si="24"/>
        <v>16.78534441</v>
      </c>
      <c r="P135" s="2"/>
      <c r="Q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5">
        <f t="shared" ref="J136:N136" si="27">exp(J129)</f>
        <v>0.107179757</v>
      </c>
      <c r="K136" s="5">
        <f t="shared" si="27"/>
        <v>0.09123724142</v>
      </c>
      <c r="L136" s="5">
        <f t="shared" si="27"/>
        <v>0.3406648906</v>
      </c>
      <c r="M136" s="5">
        <f t="shared" si="27"/>
        <v>0.6361048002</v>
      </c>
      <c r="N136" s="5">
        <f t="shared" si="27"/>
        <v>0.1474040064</v>
      </c>
      <c r="O136" s="18">
        <f t="shared" si="24"/>
        <v>1.322590696</v>
      </c>
      <c r="P136" s="2"/>
      <c r="Q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6" t="s">
        <v>23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J138" s="2"/>
      <c r="K138" s="2"/>
      <c r="L138" s="6" t="s">
        <v>23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4" t="s">
        <v>29</v>
      </c>
      <c r="J139" s="7">
        <f t="shared" ref="J139:N139" si="28">J132/$O132</f>
        <v>0.2566715901</v>
      </c>
      <c r="K139" s="7">
        <f t="shared" si="28"/>
        <v>0.2216560865</v>
      </c>
      <c r="L139" s="7">
        <f t="shared" si="28"/>
        <v>0.1448412554</v>
      </c>
      <c r="M139" s="7">
        <f t="shared" si="28"/>
        <v>0.1377890325</v>
      </c>
      <c r="N139" s="7">
        <f t="shared" si="28"/>
        <v>0.2390420355</v>
      </c>
      <c r="O139" s="2"/>
      <c r="P139" s="2"/>
      <c r="Q139" s="2"/>
      <c r="R139" s="2" t="str">
        <f>IFERROR(__xludf.DUMMYFUNCTION("SPARKLINE(J132/$O132, {""charttype"",""bar""; ""max"",1; ""color1"",""#4285F4""})"),"")</f>
        <v/>
      </c>
      <c r="S139" s="2" t="str">
        <f>IFERROR(__xludf.DUMMYFUNCTION("SPARKLINE(K132/$O132, {""charttype"",""bar""; ""max"",1; ""color1"",""#4285F4""})"),"")</f>
        <v/>
      </c>
      <c r="T139" s="2" t="str">
        <f>IFERROR(__xludf.DUMMYFUNCTION("SPARKLINE(L132/$O132, {""charttype"",""bar""; ""max"",1; ""color1"",""#4285F4""})"),"")</f>
        <v/>
      </c>
      <c r="U139" s="2" t="str">
        <f>IFERROR(__xludf.DUMMYFUNCTION("SPARKLINE(M132/$O132, {""charttype"",""bar""; ""max"",1; ""color1"",""#4285F4""})"),"")</f>
        <v/>
      </c>
      <c r="V139" s="2" t="str">
        <f>IFERROR(__xludf.DUMMYFUNCTION("SPARKLINE(N132/$O132, {""charttype"",""bar""; ""max"",1; ""color1"",""#4285F4""})"),"")</f>
        <v/>
      </c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7">
        <f t="shared" ref="J140:N140" si="29">J133/$O133</f>
        <v>0.2928435676</v>
      </c>
      <c r="K140" s="7">
        <f t="shared" si="29"/>
        <v>0.1322225385</v>
      </c>
      <c r="L140" s="7">
        <f t="shared" si="29"/>
        <v>0.1585740671</v>
      </c>
      <c r="M140" s="7">
        <f t="shared" si="29"/>
        <v>0.2448282662</v>
      </c>
      <c r="N140" s="7">
        <f t="shared" si="29"/>
        <v>0.1715315605</v>
      </c>
      <c r="O140" s="2"/>
      <c r="P140" s="2"/>
      <c r="Q140" s="2"/>
      <c r="R140" s="2" t="str">
        <f>IFERROR(__xludf.DUMMYFUNCTION("SPARKLINE(J133/$O133, {""charttype"",""bar""; ""max"",1; ""color1"",""#4285F4""})"),"")</f>
        <v/>
      </c>
      <c r="S140" s="2" t="str">
        <f>IFERROR(__xludf.DUMMYFUNCTION("SPARKLINE(K133/$O133, {""charttype"",""bar""; ""max"",1; ""color1"",""#4285F4""})"),"")</f>
        <v/>
      </c>
      <c r="T140" s="2" t="str">
        <f>IFERROR(__xludf.DUMMYFUNCTION("SPARKLINE(L133/$O133, {""charttype"",""bar""; ""max"",1; ""color1"",""#4285F4""})"),"")</f>
        <v/>
      </c>
      <c r="U140" s="2" t="str">
        <f>IFERROR(__xludf.DUMMYFUNCTION("SPARKLINE(M133/$O133, {""charttype"",""bar""; ""max"",1; ""color1"",""#4285F4""})"),"")</f>
        <v/>
      </c>
      <c r="V140" s="2" t="str">
        <f>IFERROR(__xludf.DUMMYFUNCTION("SPARKLINE(N133/$O133, {""charttype"",""bar""; ""max"",1; ""color1"",""#4285F4""})"),"")</f>
        <v/>
      </c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7">
        <f t="shared" ref="J141:N141" si="30">J134/$O134</f>
        <v>0.4240485141</v>
      </c>
      <c r="K141" s="7">
        <f t="shared" si="30"/>
        <v>0.19248625</v>
      </c>
      <c r="L141" s="7">
        <f t="shared" si="30"/>
        <v>0.07751683009</v>
      </c>
      <c r="M141" s="7">
        <f t="shared" si="30"/>
        <v>0.08925194311</v>
      </c>
      <c r="N141" s="7">
        <f t="shared" si="30"/>
        <v>0.2166964627</v>
      </c>
      <c r="O141" s="2"/>
      <c r="P141" s="2"/>
      <c r="Q141" s="2"/>
      <c r="R141" s="2" t="str">
        <f>IFERROR(__xludf.DUMMYFUNCTION("SPARKLINE(J134/$O134, {""charttype"",""bar""; ""max"",1; ""color1"",""#4285F4""})"),"")</f>
        <v/>
      </c>
      <c r="S141" s="2" t="str">
        <f>IFERROR(__xludf.DUMMYFUNCTION("SPARKLINE(K134/$O134, {""charttype"",""bar""; ""max"",1; ""color1"",""#4285F4""})"),"")</f>
        <v/>
      </c>
      <c r="T141" s="2" t="str">
        <f>IFERROR(__xludf.DUMMYFUNCTION("SPARKLINE(L134/$O134, {""charttype"",""bar""; ""max"",1; ""color1"",""#4285F4""})"),"")</f>
        <v/>
      </c>
      <c r="U141" s="2" t="str">
        <f>IFERROR(__xludf.DUMMYFUNCTION("SPARKLINE(M134/$O134, {""charttype"",""bar""; ""max"",1; ""color1"",""#4285F4""})"),"")</f>
        <v/>
      </c>
      <c r="V141" s="2" t="str">
        <f>IFERROR(__xludf.DUMMYFUNCTION("SPARKLINE(N134/$O134, {""charttype"",""bar""; ""max"",1; ""color1"",""#4285F4""})"),"")</f>
        <v/>
      </c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7">
        <f t="shared" ref="J142:N142" si="31">J135/$O135</f>
        <v>0.06199905253</v>
      </c>
      <c r="K142" s="7">
        <f t="shared" si="31"/>
        <v>0.1881310142</v>
      </c>
      <c r="L142" s="7">
        <f t="shared" si="31"/>
        <v>0.3281271862</v>
      </c>
      <c r="M142" s="7">
        <f t="shared" si="31"/>
        <v>0.2981819182</v>
      </c>
      <c r="N142" s="7">
        <f t="shared" si="31"/>
        <v>0.1235608289</v>
      </c>
      <c r="O142" s="2"/>
      <c r="P142" s="2"/>
      <c r="Q142" s="2"/>
      <c r="R142" s="2" t="str">
        <f>IFERROR(__xludf.DUMMYFUNCTION("SPARKLINE(J135/$O135, {""charttype"",""bar""; ""max"",1; ""color1"",""#4285F4""})"),"")</f>
        <v/>
      </c>
      <c r="S142" s="2" t="str">
        <f>IFERROR(__xludf.DUMMYFUNCTION("SPARKLINE(K135/$O135, {""charttype"",""bar""; ""max"",1; ""color1"",""#4285F4""})"),"")</f>
        <v/>
      </c>
      <c r="T142" s="2" t="str">
        <f>IFERROR(__xludf.DUMMYFUNCTION("SPARKLINE(L135/$O135, {""charttype"",""bar""; ""max"",1; ""color1"",""#4285F4""})"),"")</f>
        <v/>
      </c>
      <c r="U142" s="2" t="str">
        <f>IFERROR(__xludf.DUMMYFUNCTION("SPARKLINE(M135/$O135, {""charttype"",""bar""; ""max"",1; ""color1"",""#4285F4""})"),"")</f>
        <v/>
      </c>
      <c r="V142" s="2" t="str">
        <f>IFERROR(__xludf.DUMMYFUNCTION("SPARKLINE(N135/$O135, {""charttype"",""bar""; ""max"",1; ""color1"",""#4285F4""})"),"")</f>
        <v/>
      </c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7">
        <f t="shared" ref="J143:N143" si="32">J136/$O136</f>
        <v>0.08103773704</v>
      </c>
      <c r="K143" s="7">
        <f t="shared" si="32"/>
        <v>0.06898373149</v>
      </c>
      <c r="L143" s="7">
        <f t="shared" si="32"/>
        <v>0.2575739355</v>
      </c>
      <c r="M143" s="7">
        <f t="shared" si="32"/>
        <v>0.4809536332</v>
      </c>
      <c r="N143" s="7">
        <f t="shared" si="32"/>
        <v>0.1114509628</v>
      </c>
      <c r="O143" s="2"/>
      <c r="P143" s="2"/>
      <c r="Q143" s="2"/>
      <c r="R143" s="2" t="str">
        <f>IFERROR(__xludf.DUMMYFUNCTION("SPARKLINE(J136/$O136, {""charttype"",""bar""; ""max"",1; ""color1"",""#4285F4""})"),"")</f>
        <v/>
      </c>
      <c r="S143" s="2" t="str">
        <f>IFERROR(__xludf.DUMMYFUNCTION("SPARKLINE(K136/$O136, {""charttype"",""bar""; ""max"",1; ""color1"",""#4285F4""})"),"")</f>
        <v/>
      </c>
      <c r="T143" s="2" t="str">
        <f>IFERROR(__xludf.DUMMYFUNCTION("SPARKLINE(L136/$O136, {""charttype"",""bar""; ""max"",1; ""color1"",""#4285F4""})"),"")</f>
        <v/>
      </c>
      <c r="U143" s="2" t="str">
        <f>IFERROR(__xludf.DUMMYFUNCTION("SPARKLINE(M136/$O136, {""charttype"",""bar""; ""max"",1; ""color1"",""#4285F4""})"),"")</f>
        <v/>
      </c>
      <c r="V143" s="2" t="str">
        <f>IFERROR(__xludf.DUMMYFUNCTION("SPARKLINE(N136/$O136, {""charttype"",""bar""; ""max"",1; ""color1"",""#4285F4""})"),"")</f>
        <v/>
      </c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7">
    <mergeCell ref="A2:Z2"/>
    <mergeCell ref="A7:Z7"/>
    <mergeCell ref="A36:Z36"/>
    <mergeCell ref="A61:Z61"/>
    <mergeCell ref="A90:Z90"/>
    <mergeCell ref="A116:Z116"/>
    <mergeCell ref="O131:P131"/>
  </mergeCells>
  <conditionalFormatting sqref="J132:N136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2">
      <colorScale>
        <cfvo type="min"/>
        <cfvo type="max"/>
        <color rgb="FFFFFFFF"/>
        <color rgb="FF57BB8A"/>
      </colorScale>
    </cfRule>
  </conditionalFormatting>
  <conditionalFormatting sqref="C125:G12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8:N122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