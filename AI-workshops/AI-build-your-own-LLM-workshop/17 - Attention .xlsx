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<sst xmlns="http://schemas.openxmlformats.org/spreadsheetml/2006/main" count="721" uniqueCount="77">
  <si>
    <t xml:space="preserve">Self-attention: Query </t>
  </si>
  <si>
    <t>Input</t>
  </si>
  <si>
    <t>(X)</t>
  </si>
  <si>
    <t>⬇</t>
  </si>
  <si>
    <t>Weight Q</t>
  </si>
  <si>
    <t>Q</t>
  </si>
  <si>
    <t>(Query)</t>
  </si>
  <si>
    <t>➡</t>
  </si>
  <si>
    <t>Self-attention: Key</t>
  </si>
  <si>
    <t>Attention: all formulas, don't worry we'll demonstrate each one</t>
  </si>
  <si>
    <t>Weight K</t>
  </si>
  <si>
    <t>K</t>
  </si>
  <si>
    <t>(Key)</t>
  </si>
  <si>
    <t>Self-attention: Value</t>
  </si>
  <si>
    <t>Weight V</t>
  </si>
  <si>
    <t>V</t>
  </si>
  <si>
    <t>(Value)</t>
  </si>
  <si>
    <t>Self-attention: Query, Key, Value (scaffolding)</t>
  </si>
  <si>
    <t>Self-attention: Softmax(Q*K/d^0.5)</t>
  </si>
  <si>
    <t>Transpose(K)</t>
  </si>
  <si>
    <t>Q*Kt</t>
  </si>
  <si>
    <t>Dk^0.5</t>
  </si>
  <si>
    <t>Q*Kt/Dk^0.5</t>
  </si>
  <si>
    <t>J97/$G$107</t>
  </si>
  <si>
    <t>SoftMax(</t>
  </si>
  <si>
    <t xml:space="preserve">EXP(J104)/SUMPRODUCT(EXP($J104:$N104))
</t>
  </si>
  <si>
    <t>Q*Kt)</t>
  </si>
  <si>
    <t>Self-attention: Causal Mask</t>
  </si>
  <si>
    <t>Causal</t>
  </si>
  <si>
    <t>with mask</t>
  </si>
  <si>
    <t>ARRAYFORMULA(J123:N127+C130:G134)</t>
  </si>
  <si>
    <t>Mask</t>
  </si>
  <si>
    <t>Self-attention: SoftMax @ V</t>
  </si>
  <si>
    <t>SoftMax@V</t>
  </si>
  <si>
    <t>MMULT(J149:N153,C156:G160)</t>
  </si>
  <si>
    <t>w/ Mask</t>
  </si>
  <si>
    <t xml:space="preserve">Complete causal self-attention </t>
  </si>
  <si>
    <t xml:space="preserve">SoftMax(Q*Kt/Dk^0.5) </t>
  </si>
  <si>
    <t>Self-</t>
  </si>
  <si>
    <t>attention</t>
  </si>
  <si>
    <t>Multi-head attention</t>
  </si>
  <si>
    <t>⬅</t>
  </si>
  <si>
    <t>Weight Q1</t>
  </si>
  <si>
    <t>Q1</t>
  </si>
  <si>
    <t>Weight Q2</t>
  </si>
  <si>
    <t>Q2</t>
  </si>
  <si>
    <t>Weight K1</t>
  </si>
  <si>
    <t>K1</t>
  </si>
  <si>
    <t>Weight K2</t>
  </si>
  <si>
    <t>K2</t>
  </si>
  <si>
    <t>Weight V1</t>
  </si>
  <si>
    <t>V1</t>
  </si>
  <si>
    <t>Weight V2</t>
  </si>
  <si>
    <t>V2</t>
  </si>
  <si>
    <t>Causal self-attention #1</t>
  </si>
  <si>
    <t>Causal self-attention #2</t>
  </si>
  <si>
    <t>Multi-head attention: Concat</t>
  </si>
  <si>
    <t>Causal self-attention #3 (n)</t>
  </si>
  <si>
    <t>...</t>
  </si>
  <si>
    <t>Concat</t>
  </si>
  <si>
    <t>W0</t>
  </si>
  <si>
    <t>MHA</t>
  </si>
  <si>
    <t>MMULT(E266:S270, E273:I287)</t>
  </si>
  <si>
    <t>MHA Alternatives: GQA and MQA, Sharing Query And Key matrices</t>
  </si>
  <si>
    <t>Shared</t>
  </si>
  <si>
    <t>Key</t>
  </si>
  <si>
    <t>Value</t>
  </si>
  <si>
    <t xml:space="preserve">Dimensions: emedding dimensions -&gt; head dimensions </t>
  </si>
  <si>
    <t>GPT2</t>
  </si>
  <si>
    <t>This sheet</t>
  </si>
  <si>
    <t>Embedding dimension</t>
  </si>
  <si>
    <t># Heads</t>
  </si>
  <si>
    <t>Head dimension</t>
  </si>
  <si>
    <t>[FILL]</t>
  </si>
  <si>
    <t xml:space="preserve">Dimensions: Head dimension example </t>
  </si>
  <si>
    <t>Embedding Dimension</t>
  </si>
  <si>
    <t xml:space="preserve">Self-attention: Query, but with accurate head dimensions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</si>
</sst>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b/>
      <u/>
      <sz val="11.0"/>
      <color theme="1"/>
      <name val="Arial"/>
      <scheme val="minor"/>
    </font>
    <font>
      <color rgb="FFB7B7B7"/>
      <name val="Arial"/>
    </font>
    <font>
      <color theme="1"/>
      <name val="Arial"/>
    </font>
    <font>
      <color rgb="FFFFFFFF"/>
      <name val="Arial"/>
    </font>
    <font>
      <color rgb="FF000000"/>
      <name val="Arial"/>
      <scheme val="minor"/>
    </font>
    <font>
      <u/>
      <color rgb="FFB7B7B7"/>
      <name val="Arial"/>
      <scheme val="minor"/>
    </font>
    <font>
      <u/>
      <color rgb="FFB7B7B7"/>
      <name val="Arial"/>
      <scheme val="minor"/>
    </font>
    <font>
      <b/>
      <color theme="1"/>
      <name val="Arial"/>
      <scheme val="minor"/>
    </font>
  </fonts>
  <fills count="111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EFEFE"/>
        <bgColor rgb="FFFEFEFE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CF3F3"/>
        <bgColor rgb="FFFCF3F3"/>
      </patternFill>
    </fill>
    <fill>
      <patternFill patternType="solid">
        <fgColor rgb="FFFCFEFD"/>
        <bgColor rgb="FFFCFEFD"/>
      </patternFill>
    </fill>
    <fill>
      <patternFill patternType="solid">
        <fgColor rgb="FFF0F9F5"/>
        <bgColor rgb="FFF0F9F5"/>
      </patternFill>
    </fill>
    <fill>
      <patternFill patternType="solid">
        <fgColor rgb="FFD2EDE0"/>
        <bgColor rgb="FFD2EDE0"/>
      </patternFill>
    </fill>
    <fill>
      <patternFill patternType="solid">
        <fgColor rgb="FFFBEAE8"/>
        <bgColor rgb="FFFBEAE8"/>
      </patternFill>
    </fill>
    <fill>
      <patternFill patternType="solid">
        <fgColor rgb="FFF9E0DE"/>
        <bgColor rgb="FFF9E0DE"/>
      </patternFill>
    </fill>
    <fill>
      <patternFill patternType="solid">
        <fgColor rgb="FFF9FDFB"/>
        <bgColor rgb="FFF9FDFB"/>
      </patternFill>
    </fill>
    <fill>
      <patternFill patternType="solid">
        <fgColor rgb="FFD7EFE4"/>
        <bgColor rgb="FFD7EFE4"/>
      </patternFill>
    </fill>
    <fill>
      <patternFill patternType="solid">
        <fgColor rgb="FFFEFAFA"/>
        <bgColor rgb="FFFEFAFA"/>
      </patternFill>
    </fill>
    <fill>
      <patternFill patternType="solid">
        <fgColor rgb="FFFAE8E6"/>
        <bgColor rgb="FFFAE8E6"/>
      </patternFill>
    </fill>
    <fill>
      <patternFill patternType="solid">
        <fgColor rgb="FFF3C5C1"/>
        <bgColor rgb="FFF3C5C1"/>
      </patternFill>
    </fill>
    <fill>
      <patternFill patternType="solid">
        <fgColor rgb="FFFAFDFC"/>
        <bgColor rgb="FFFAFDFC"/>
      </patternFill>
    </fill>
    <fill>
      <patternFill patternType="solid">
        <fgColor rgb="FFD9F0E5"/>
        <bgColor rgb="FFD9F0E5"/>
      </patternFill>
    </fill>
    <fill>
      <patternFill patternType="solid">
        <fgColor rgb="FFE8F6EF"/>
        <bgColor rgb="FFE8F6EF"/>
      </patternFill>
    </fill>
    <fill>
      <patternFill patternType="solid">
        <fgColor rgb="FFFEFCFC"/>
        <bgColor rgb="FFFEFCFC"/>
      </patternFill>
    </fill>
    <fill>
      <patternFill patternType="solid">
        <fgColor rgb="FFF2FAF6"/>
        <bgColor rgb="FFF2FAF6"/>
      </patternFill>
    </fill>
    <fill>
      <patternFill patternType="solid">
        <fgColor rgb="FFFBEEED"/>
        <bgColor rgb="FFFBEEED"/>
      </patternFill>
    </fill>
    <fill>
      <patternFill patternType="solid">
        <fgColor rgb="FFE7F6EE"/>
        <bgColor rgb="FFE7F6EE"/>
      </patternFill>
    </fill>
    <fill>
      <patternFill patternType="solid">
        <fgColor rgb="FFB4E1CB"/>
        <bgColor rgb="FFB4E1CB"/>
      </patternFill>
    </fill>
    <fill>
      <patternFill patternType="solid">
        <fgColor rgb="FFFDF5F4"/>
        <bgColor rgb="FFFDF5F4"/>
      </patternFill>
    </fill>
    <fill>
      <patternFill patternType="solid">
        <fgColor rgb="FFF5CECB"/>
        <bgColor rgb="FFF5CECB"/>
      </patternFill>
    </fill>
    <fill>
      <patternFill patternType="solid">
        <fgColor rgb="FFECF8F2"/>
        <bgColor rgb="FFECF8F2"/>
      </patternFill>
    </fill>
    <fill>
      <patternFill patternType="solid">
        <fgColor rgb="FFE5F5ED"/>
        <bgColor rgb="FFE5F5ED"/>
      </patternFill>
    </fill>
    <fill>
      <patternFill patternType="solid">
        <fgColor rgb="FFD6EFE3"/>
        <bgColor rgb="FFD6EFE3"/>
      </patternFill>
    </fill>
    <fill>
      <patternFill patternType="solid">
        <fgColor rgb="FFFBFEFD"/>
        <bgColor rgb="FFFBFEFD"/>
      </patternFill>
    </fill>
    <fill>
      <patternFill patternType="solid">
        <fgColor rgb="FFF1B7B2"/>
        <bgColor rgb="FFF1B7B2"/>
      </patternFill>
    </fill>
    <fill>
      <patternFill patternType="solid">
        <fgColor rgb="FFF7D5D3"/>
        <bgColor rgb="FFF7D5D3"/>
      </patternFill>
    </fill>
    <fill>
      <patternFill patternType="solid">
        <fgColor rgb="FFF5CDCA"/>
        <bgColor rgb="FFF5CDCA"/>
      </patternFill>
    </fill>
    <fill>
      <patternFill patternType="solid">
        <fgColor rgb="FFCDEBDC"/>
        <bgColor rgb="FFCDEBDC"/>
      </patternFill>
    </fill>
    <fill>
      <patternFill patternType="solid">
        <fgColor rgb="FFF4FBF7"/>
        <bgColor rgb="FFF4FBF7"/>
      </patternFill>
    </fill>
    <fill>
      <patternFill patternType="solid">
        <fgColor rgb="FFF5FBF8"/>
        <bgColor rgb="FFF5FBF8"/>
      </patternFill>
    </fill>
    <fill>
      <patternFill patternType="solid">
        <fgColor rgb="FFF8FCFA"/>
        <bgColor rgb="FFF8FCFA"/>
      </patternFill>
    </fill>
    <fill>
      <patternFill patternType="solid">
        <fgColor rgb="FFF4FBF8"/>
        <bgColor rgb="FFF4FBF8"/>
      </patternFill>
    </fill>
    <fill>
      <patternFill patternType="solid">
        <fgColor rgb="FFEBF7F1"/>
        <bgColor rgb="FFEBF7F1"/>
      </patternFill>
    </fill>
    <fill>
      <patternFill patternType="solid">
        <fgColor rgb="FFEFAFAA"/>
        <bgColor rgb="FFEFAFAA"/>
      </patternFill>
    </fill>
    <fill>
      <patternFill patternType="solid">
        <fgColor rgb="FFF8DBD8"/>
        <bgColor rgb="FFF8DBD8"/>
      </patternFill>
    </fill>
    <fill>
      <patternFill patternType="solid">
        <fgColor rgb="FFDDF2E8"/>
        <bgColor rgb="FFDDF2E8"/>
      </patternFill>
    </fill>
    <fill>
      <patternFill patternType="solid">
        <fgColor rgb="FFB9E3CE"/>
        <bgColor rgb="FFB9E3CE"/>
      </patternFill>
    </fill>
    <fill>
      <patternFill patternType="solid">
        <fgColor rgb="FFDBF1E6"/>
        <bgColor rgb="FFDBF1E6"/>
      </patternFill>
    </fill>
    <fill>
      <patternFill patternType="solid">
        <fgColor rgb="FFF8FDFB"/>
        <bgColor rgb="FFF8FDFB"/>
      </patternFill>
    </fill>
    <fill>
      <patternFill patternType="solid">
        <fgColor rgb="FFFAE8E7"/>
        <bgColor rgb="FFFAE8E7"/>
      </patternFill>
    </fill>
    <fill>
      <patternFill patternType="solid">
        <fgColor rgb="FFFCF4F3"/>
        <bgColor rgb="FFFCF4F3"/>
      </patternFill>
    </fill>
    <fill>
      <patternFill patternType="solid">
        <fgColor rgb="FFF6FCF9"/>
        <bgColor rgb="FFF6FCF9"/>
      </patternFill>
    </fill>
    <fill>
      <patternFill patternType="solid">
        <fgColor rgb="FFF4C8C4"/>
        <bgColor rgb="FFF4C8C4"/>
      </patternFill>
    </fill>
    <fill>
      <patternFill patternType="solid">
        <fgColor rgb="FFF5CFCC"/>
        <bgColor rgb="FFF5CFCC"/>
      </patternFill>
    </fill>
    <fill>
      <patternFill patternType="solid">
        <fgColor rgb="FFF6D3D0"/>
        <bgColor rgb="FFF6D3D0"/>
      </patternFill>
    </fill>
    <fill>
      <patternFill patternType="solid">
        <fgColor rgb="FFC7E9D8"/>
        <bgColor rgb="FFC7E9D8"/>
      </patternFill>
    </fill>
    <fill>
      <patternFill patternType="solid">
        <fgColor rgb="FFE6F5EE"/>
        <bgColor rgb="FFE6F5EE"/>
      </patternFill>
    </fill>
    <fill>
      <patternFill patternType="solid">
        <fgColor rgb="FFFEFFFF"/>
        <bgColor rgb="FFFEFFFF"/>
      </patternFill>
    </fill>
    <fill>
      <patternFill patternType="solid">
        <fgColor rgb="FFD8EFE4"/>
        <bgColor rgb="FFD8EFE4"/>
      </patternFill>
    </fill>
    <fill>
      <patternFill patternType="solid">
        <fgColor rgb="FFEFF9F4"/>
        <bgColor rgb="FFEFF9F4"/>
      </patternFill>
    </fill>
    <fill>
      <patternFill patternType="solid">
        <fgColor rgb="FFE4F5ED"/>
        <bgColor rgb="FFE4F5ED"/>
      </patternFill>
    </fill>
    <fill>
      <patternFill patternType="solid">
        <fgColor rgb="FFFBFEFC"/>
        <bgColor rgb="FFFBFEFC"/>
      </patternFill>
    </fill>
    <fill>
      <patternFill patternType="solid">
        <fgColor rgb="FFF0F9F4"/>
        <bgColor rgb="FFF0F9F4"/>
      </patternFill>
    </fill>
    <fill>
      <patternFill patternType="solid">
        <fgColor rgb="FFFEFAF9"/>
        <bgColor rgb="FFFEFAF9"/>
      </patternFill>
    </fill>
    <fill>
      <patternFill patternType="solid">
        <fgColor rgb="FFFBEBEA"/>
        <bgColor rgb="FFFBEBEA"/>
      </patternFill>
    </fill>
    <fill>
      <patternFill patternType="solid">
        <fgColor rgb="FFE4F4EC"/>
        <bgColor rgb="FFE4F4EC"/>
      </patternFill>
    </fill>
    <fill>
      <patternFill patternType="solid">
        <fgColor rgb="FFFDF7F7"/>
        <bgColor rgb="FFFDF7F7"/>
      </patternFill>
    </fill>
    <fill>
      <patternFill patternType="solid">
        <fgColor rgb="FFFDFEFE"/>
        <bgColor rgb="FFFDFEFE"/>
      </patternFill>
    </fill>
    <fill>
      <patternFill patternType="solid">
        <fgColor rgb="FFAFDFC7"/>
        <bgColor rgb="FFAFDFC7"/>
      </patternFill>
    </fill>
    <fill>
      <patternFill patternType="solid">
        <fgColor rgb="FF91D3B2"/>
        <bgColor rgb="FF91D3B2"/>
      </patternFill>
    </fill>
    <fill>
      <patternFill patternType="solid">
        <fgColor rgb="FF57BB8A"/>
        <bgColor rgb="FF57BB8A"/>
      </patternFill>
    </fill>
    <fill>
      <patternFill patternType="solid">
        <fgColor rgb="FFE67C73"/>
        <bgColor rgb="FFE67C73"/>
      </patternFill>
    </fill>
    <fill>
      <patternFill patternType="solid">
        <fgColor rgb="FFA8DCC2"/>
        <bgColor rgb="FFA8DCC2"/>
      </patternFill>
    </fill>
    <fill>
      <patternFill patternType="solid">
        <fgColor rgb="FF9DD8BB"/>
        <bgColor rgb="FF9DD8BB"/>
      </patternFill>
    </fill>
    <fill>
      <patternFill patternType="solid">
        <fgColor rgb="FF90D2B2"/>
        <bgColor rgb="FF90D2B2"/>
      </patternFill>
    </fill>
    <fill>
      <patternFill patternType="solid">
        <fgColor rgb="FFEFACA6"/>
        <bgColor rgb="FFEFACA6"/>
      </patternFill>
    </fill>
    <fill>
      <patternFill patternType="solid">
        <fgColor rgb="FFF7D9D7"/>
        <bgColor rgb="FFF7D9D7"/>
      </patternFill>
    </fill>
    <fill>
      <patternFill patternType="solid">
        <fgColor rgb="FFEEA7A1"/>
        <bgColor rgb="FFEEA7A1"/>
      </patternFill>
    </fill>
    <fill>
      <patternFill patternType="solid">
        <fgColor rgb="FFC2E7D5"/>
        <bgColor rgb="FFC2E7D5"/>
      </patternFill>
    </fill>
    <fill>
      <patternFill patternType="solid">
        <fgColor rgb="FF98D5B7"/>
        <bgColor rgb="FF98D5B7"/>
      </patternFill>
    </fill>
    <fill>
      <patternFill patternType="solid">
        <fgColor rgb="FFF0B2AD"/>
        <bgColor rgb="FFF0B2AD"/>
      </patternFill>
    </fill>
    <fill>
      <patternFill patternType="solid">
        <fgColor rgb="FFF7FCFA"/>
        <bgColor rgb="FFF7FCFA"/>
      </patternFill>
    </fill>
    <fill>
      <patternFill patternType="solid">
        <fgColor rgb="FFEB9790"/>
        <bgColor rgb="FFEB9790"/>
      </patternFill>
    </fill>
    <fill>
      <patternFill patternType="solid">
        <fgColor rgb="FFFAE5E4"/>
        <bgColor rgb="FFFAE5E4"/>
      </patternFill>
    </fill>
    <fill>
      <patternFill patternType="solid">
        <fgColor rgb="FFE98E86"/>
        <bgColor rgb="FFE98E86"/>
      </patternFill>
    </fill>
    <fill>
      <patternFill patternType="solid">
        <fgColor rgb="FFD3EDE0"/>
        <bgColor rgb="FFD3EDE0"/>
      </patternFill>
    </fill>
    <fill>
      <patternFill patternType="solid">
        <fgColor rgb="FFFBECEB"/>
        <bgColor rgb="FFFBECEB"/>
      </patternFill>
    </fill>
    <fill>
      <patternFill patternType="solid">
        <fgColor rgb="FFEEA6A0"/>
        <bgColor rgb="FFEEA6A0"/>
      </patternFill>
    </fill>
    <fill>
      <patternFill patternType="solid">
        <fgColor rgb="FFF0B4AE"/>
        <bgColor rgb="FFF0B4AE"/>
      </patternFill>
    </fill>
    <fill>
      <patternFill patternType="solid">
        <fgColor rgb="FFBBE4D0"/>
        <bgColor rgb="FFBBE4D0"/>
      </patternFill>
    </fill>
    <fill>
      <patternFill patternType="solid">
        <fgColor rgb="FFF2BBB6"/>
        <bgColor rgb="FFF2BBB6"/>
      </patternFill>
    </fill>
    <fill>
      <patternFill patternType="solid">
        <fgColor rgb="FFEC9C96"/>
        <bgColor rgb="FFEC9C96"/>
      </patternFill>
    </fill>
    <fill>
      <patternFill patternType="solid">
        <fgColor rgb="FFFDFFFE"/>
        <bgColor rgb="FFFDFFFE"/>
      </patternFill>
    </fill>
    <fill>
      <patternFill patternType="solid">
        <fgColor rgb="FF80CCA7"/>
        <bgColor rgb="FF80CCA7"/>
      </patternFill>
    </fill>
    <fill>
      <patternFill patternType="solid">
        <fgColor rgb="FFC1E6D4"/>
        <bgColor rgb="FFC1E6D4"/>
      </patternFill>
    </fill>
    <fill>
      <patternFill patternType="solid">
        <fgColor rgb="FFD1EDDF"/>
        <bgColor rgb="FFD1EDDF"/>
      </patternFill>
    </fill>
    <fill>
      <patternFill patternType="solid">
        <fgColor rgb="FFF2BCB8"/>
        <bgColor rgb="FFF2BCB8"/>
      </patternFill>
    </fill>
    <fill>
      <patternFill patternType="solid">
        <fgColor rgb="FFE7847B"/>
        <bgColor rgb="FFE7847B"/>
      </patternFill>
    </fill>
    <fill>
      <patternFill patternType="solid">
        <fgColor rgb="FFF2BDB8"/>
        <bgColor rgb="FFF2BDB8"/>
      </patternFill>
    </fill>
    <fill>
      <patternFill patternType="solid">
        <fgColor rgb="FFF0B1AC"/>
        <bgColor rgb="FFF0B1AC"/>
      </patternFill>
    </fill>
    <fill>
      <patternFill patternType="solid">
        <fgColor rgb="FFFCF3F2"/>
        <bgColor rgb="FFFCF3F2"/>
      </patternFill>
    </fill>
    <fill>
      <patternFill patternType="solid">
        <fgColor rgb="FFF3C2BE"/>
        <bgColor rgb="FFF3C2BE"/>
      </patternFill>
    </fill>
    <fill>
      <patternFill patternType="solid">
        <fgColor rgb="FFE7F5EE"/>
        <bgColor rgb="FFE7F5EE"/>
      </patternFill>
    </fill>
    <fill>
      <patternFill patternType="solid">
        <fgColor rgb="FFF1B6B1"/>
        <bgColor rgb="FFF1B6B1"/>
      </patternFill>
    </fill>
    <fill>
      <patternFill patternType="solid">
        <fgColor rgb="FFEDF8F3"/>
        <bgColor rgb="FFEDF8F3"/>
      </patternFill>
    </fill>
    <fill>
      <patternFill patternType="solid">
        <fgColor rgb="FFE98C84"/>
        <bgColor rgb="FFE98C84"/>
      </patternFill>
    </fill>
    <fill>
      <patternFill patternType="solid">
        <fgColor rgb="FFEEF8F3"/>
        <bgColor rgb="FFEEF8F3"/>
      </patternFill>
    </fill>
    <fill>
      <patternFill patternType="solid">
        <fgColor rgb="FFA1D9BE"/>
        <bgColor rgb="FFA1D9BE"/>
      </patternFill>
    </fill>
    <fill>
      <patternFill patternType="solid">
        <fgColor rgb="FFA7DCC2"/>
        <bgColor rgb="FFA7DCC2"/>
      </patternFill>
    </fill>
    <fill>
      <patternFill patternType="solid">
        <fgColor rgb="FFCAEADA"/>
        <bgColor rgb="FFCAEADA"/>
      </patternFill>
    </fill>
    <fill>
      <patternFill patternType="solid">
        <fgColor rgb="FFE99088"/>
        <bgColor rgb="FFE99088"/>
      </patternFill>
    </fill>
    <fill>
      <patternFill patternType="solid">
        <fgColor rgb="FFFBFDFC"/>
        <bgColor rgb="FFFBFDF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left"/>
    </xf>
    <xf borderId="4" fillId="0" fontId="2" numFmtId="164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0" fillId="0" fontId="2" numFmtId="2" xfId="0" applyAlignment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0" fillId="0" fontId="2" numFmtId="0" xfId="0" applyFont="1"/>
    <xf borderId="1" fillId="0" fontId="2" numFmtId="164" xfId="0" applyAlignment="1" applyBorder="1" applyFont="1" applyNumberFormat="1">
      <alignment horizontal="left" readingOrder="0"/>
    </xf>
    <xf borderId="0" fillId="3" fontId="2" numFmtId="2" xfId="0" applyAlignment="1" applyFill="1" applyFont="1" applyNumberFormat="1">
      <alignment horizontal="center"/>
    </xf>
    <xf borderId="0" fillId="0" fontId="4" numFmtId="0" xfId="0" applyAlignment="1" applyFont="1">
      <alignment horizontal="right" vertical="bottom"/>
    </xf>
    <xf borderId="1" fillId="4" fontId="5" numFmtId="2" xfId="0" applyAlignment="1" applyBorder="1" applyFill="1" applyFont="1" applyNumberFormat="1">
      <alignment horizontal="left" readingOrder="0" vertical="bottom"/>
    </xf>
    <xf borderId="2" fillId="4" fontId="5" numFmtId="2" xfId="0" applyAlignment="1" applyBorder="1" applyFill="1" applyFont="1" applyNumberFormat="1">
      <alignment horizontal="center" vertical="bottom"/>
    </xf>
    <xf borderId="3" fillId="4" fontId="5" numFmtId="2" xfId="0" applyAlignment="1" applyBorder="1" applyFill="1" applyFont="1" applyNumberFormat="1">
      <alignment horizontal="center" vertical="bottom"/>
    </xf>
    <xf borderId="1" fillId="4" fontId="5" numFmtId="2" xfId="0" applyAlignment="1" applyBorder="1" applyFill="1" applyFont="1" applyNumberFormat="1">
      <alignment horizontal="center" vertical="bottom"/>
    </xf>
    <xf borderId="4" fillId="4" fontId="5" numFmtId="2" xfId="0" applyAlignment="1" applyBorder="1" applyFill="1" applyFont="1" applyNumberFormat="1">
      <alignment horizontal="center" vertical="bottom"/>
    </xf>
    <xf borderId="0" fillId="4" fontId="5" numFmtId="2" xfId="0" applyAlignment="1" applyFill="1" applyFont="1" applyNumberFormat="1">
      <alignment horizontal="center" vertical="bottom"/>
    </xf>
    <xf borderId="5" fillId="4" fontId="5" numFmtId="2" xfId="0" applyAlignment="1" applyBorder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6" fillId="4" fontId="5" numFmtId="2" xfId="0" applyAlignment="1" applyBorder="1" applyFill="1" applyFont="1" applyNumberFormat="1">
      <alignment horizontal="center" vertical="bottom"/>
    </xf>
    <xf borderId="7" fillId="4" fontId="5" numFmtId="2" xfId="0" applyAlignment="1" applyBorder="1" applyFill="1" applyFont="1" applyNumberFormat="1">
      <alignment horizontal="center" vertical="bottom"/>
    </xf>
    <xf borderId="8" fillId="4" fontId="5" numFmtId="2" xfId="0" applyAlignment="1" applyBorder="1" applyFill="1" applyFont="1" applyNumberFormat="1">
      <alignment horizontal="center" vertical="bottom"/>
    </xf>
    <xf borderId="0" fillId="2" fontId="5" numFmtId="0" xfId="0" applyAlignment="1" applyFill="1" applyFont="1">
      <alignment readingOrder="0" vertical="bottom"/>
    </xf>
    <xf borderId="0" fillId="2" fontId="5" numFmtId="0" xfId="0" applyAlignment="1" applyFill="1" applyFont="1">
      <alignment vertical="bottom"/>
    </xf>
    <xf borderId="1" fillId="5" fontId="6" numFmtId="0" xfId="0" applyAlignment="1" applyBorder="1" applyFill="1" applyFont="1">
      <alignment horizontal="center" vertical="bottom"/>
    </xf>
    <xf borderId="2" fillId="6" fontId="6" numFmtId="0" xfId="0" applyAlignment="1" applyBorder="1" applyFill="1" applyFont="1">
      <alignment horizontal="center" vertical="bottom"/>
    </xf>
    <xf borderId="3" fillId="6" fontId="6" numFmtId="0" xfId="0" applyAlignment="1" applyBorder="1" applyFill="1" applyFont="1">
      <alignment horizontal="center" vertical="bottom"/>
    </xf>
    <xf borderId="2" fillId="0" fontId="2" numFmtId="1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 readingOrder="0"/>
    </xf>
    <xf borderId="3" fillId="0" fontId="2" numFmtId="1" xfId="0" applyAlignment="1" applyBorder="1" applyFont="1" applyNumberFormat="1">
      <alignment horizontal="center"/>
    </xf>
    <xf borderId="4" fillId="5" fontId="6" numFmtId="0" xfId="0" applyAlignment="1" applyBorder="1" applyFill="1" applyFont="1">
      <alignment horizontal="center" vertical="bottom"/>
    </xf>
    <xf borderId="0" fillId="5" fontId="6" numFmtId="0" xfId="0" applyAlignment="1" applyFill="1" applyFont="1">
      <alignment horizontal="center" vertical="bottom"/>
    </xf>
    <xf borderId="0" fillId="6" fontId="6" numFmtId="0" xfId="0" applyAlignment="1" applyFill="1" applyFont="1">
      <alignment horizontal="center" vertical="bottom"/>
    </xf>
    <xf borderId="5" fillId="6" fontId="6" numFmtId="0" xfId="0" applyAlignment="1" applyBorder="1" applyFill="1" applyFont="1">
      <alignment horizontal="center" vertical="bottom"/>
    </xf>
    <xf borderId="0" fillId="0" fontId="2" numFmtId="1" xfId="0" applyAlignment="1" applyFont="1" applyNumberFormat="1">
      <alignment horizontal="center" readingOrder="0"/>
    </xf>
    <xf borderId="0" fillId="0" fontId="2" numFmtId="1" xfId="0" applyAlignment="1" applyFont="1" applyNumberFormat="1">
      <alignment horizontal="center"/>
    </xf>
    <xf borderId="5" fillId="0" fontId="2" numFmtId="1" xfId="0" applyAlignment="1" applyBorder="1" applyFont="1" applyNumberFormat="1">
      <alignment horizontal="center"/>
    </xf>
    <xf borderId="6" fillId="5" fontId="6" numFmtId="0" xfId="0" applyAlignment="1" applyBorder="1" applyFill="1" applyFont="1">
      <alignment horizontal="center" vertical="bottom"/>
    </xf>
    <xf borderId="7" fillId="5" fontId="6" numFmtId="0" xfId="0" applyAlignment="1" applyBorder="1" applyFill="1" applyFont="1">
      <alignment horizontal="center" vertical="bottom"/>
    </xf>
    <xf borderId="8" fillId="5" fontId="6" numFmtId="0" xfId="0" applyAlignment="1" applyBorder="1" applyFill="1" applyFont="1">
      <alignment horizontal="center" vertical="bottom"/>
    </xf>
    <xf borderId="7" fillId="0" fontId="2" numFmtId="164" xfId="0" applyAlignment="1" applyBorder="1" applyFont="1" applyNumberFormat="1">
      <alignment horizontal="center" readingOrder="0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7" fontId="5" numFmtId="164" xfId="0" applyAlignment="1" applyFill="1" applyFont="1" applyNumberFormat="1">
      <alignment horizontal="center" vertical="bottom"/>
    </xf>
    <xf borderId="0" fillId="7" fontId="5" numFmtId="164" xfId="0" applyAlignment="1" applyFill="1" applyFont="1" applyNumberFormat="1">
      <alignment horizontal="left" vertical="bottom"/>
    </xf>
    <xf borderId="0" fillId="8" fontId="5" numFmtId="164" xfId="0" applyAlignment="1" applyFill="1" applyFont="1" applyNumberFormat="1">
      <alignment horizontal="center" vertical="bottom"/>
    </xf>
    <xf borderId="0" fillId="9" fontId="5" numFmtId="164" xfId="0" applyAlignment="1" applyFill="1" applyFont="1" applyNumberFormat="1">
      <alignment horizontal="center" vertical="bottom"/>
    </xf>
    <xf borderId="0" fillId="10" fontId="5" numFmtId="164" xfId="0" applyAlignment="1" applyFill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11" fontId="5" numFmtId="164" xfId="0" applyAlignment="1" applyFill="1" applyFont="1" applyNumberFormat="1">
      <alignment horizontal="center" vertical="bottom"/>
    </xf>
    <xf borderId="0" fillId="12" fontId="5" numFmtId="164" xfId="0" applyAlignment="1" applyFill="1" applyFont="1" applyNumberFormat="1">
      <alignment horizontal="left" vertical="bottom"/>
    </xf>
    <xf borderId="0" fillId="13" fontId="5" numFmtId="164" xfId="0" applyAlignment="1" applyFill="1" applyFont="1" applyNumberFormat="1">
      <alignment horizontal="center" vertical="bottom"/>
    </xf>
    <xf borderId="0" fillId="14" fontId="5" numFmtId="164" xfId="0" applyAlignment="1" applyFill="1" applyFont="1" applyNumberFormat="1">
      <alignment horizontal="center" vertical="bottom"/>
    </xf>
    <xf borderId="0" fillId="15" fontId="5" numFmtId="164" xfId="0" applyAlignment="1" applyFill="1" applyFont="1" applyNumberFormat="1">
      <alignment horizontal="center" vertical="bottom"/>
    </xf>
    <xf borderId="0" fillId="16" fontId="5" numFmtId="164" xfId="0" applyAlignment="1" applyFill="1" applyFont="1" applyNumberFormat="1">
      <alignment horizontal="center" vertical="bottom"/>
    </xf>
    <xf borderId="0" fillId="17" fontId="5" numFmtId="164" xfId="0" applyAlignment="1" applyFill="1" applyFont="1" applyNumberFormat="1">
      <alignment horizontal="left" vertical="bottom"/>
    </xf>
    <xf borderId="0" fillId="18" fontId="5" numFmtId="164" xfId="0" applyAlignment="1" applyFill="1" applyFont="1" applyNumberFormat="1">
      <alignment horizontal="center" vertical="bottom"/>
    </xf>
    <xf borderId="0" fillId="19" fontId="5" numFmtId="164" xfId="0" applyAlignment="1" applyFill="1" applyFont="1" applyNumberFormat="1">
      <alignment horizontal="center" vertical="bottom"/>
    </xf>
    <xf borderId="0" fillId="20" fontId="5" numFmtId="164" xfId="0" applyAlignment="1" applyFill="1" applyFont="1" applyNumberFormat="1">
      <alignment horizontal="center" vertical="bottom"/>
    </xf>
    <xf borderId="0" fillId="21" fontId="5" numFmtId="164" xfId="0" applyAlignment="1" applyFill="1" applyFont="1" applyNumberFormat="1">
      <alignment horizontal="center" vertical="bottom"/>
    </xf>
    <xf borderId="0" fillId="22" fontId="5" numFmtId="164" xfId="0" applyAlignment="1" applyFill="1" applyFont="1" applyNumberFormat="1">
      <alignment horizontal="left" vertical="bottom"/>
    </xf>
    <xf borderId="0" fillId="22" fontId="5" numFmtId="164" xfId="0" applyAlignment="1" applyFill="1" applyFont="1" applyNumberFormat="1">
      <alignment horizontal="center" vertical="bottom"/>
    </xf>
    <xf borderId="0" fillId="23" fontId="5" numFmtId="164" xfId="0" applyAlignment="1" applyFill="1" applyFont="1" applyNumberFormat="1">
      <alignment horizontal="center" vertical="bottom"/>
    </xf>
    <xf borderId="0" fillId="24" fontId="5" numFmtId="164" xfId="0" applyAlignment="1" applyFill="1" applyFont="1" applyNumberFormat="1">
      <alignment horizontal="center" vertical="bottom"/>
    </xf>
    <xf borderId="0" fillId="25" fontId="5" numFmtId="164" xfId="0" applyAlignment="1" applyFill="1" applyFont="1" applyNumberFormat="1">
      <alignment horizontal="left" vertical="bottom"/>
    </xf>
    <xf borderId="0" fillId="26" fontId="5" numFmtId="164" xfId="0" applyAlignment="1" applyFill="1" applyFont="1" applyNumberFormat="1">
      <alignment horizontal="center" vertical="bottom"/>
    </xf>
    <xf borderId="0" fillId="27" fontId="5" numFmtId="164" xfId="0" applyAlignment="1" applyFill="1" applyFont="1" applyNumberFormat="1">
      <alignment horizontal="center" vertical="bottom"/>
    </xf>
    <xf borderId="0" fillId="28" fontId="5" numFmtId="164" xfId="0" applyAlignment="1" applyFill="1" applyFont="1" applyNumberFormat="1">
      <alignment horizontal="center" vertical="bottom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left" vertical="bottom"/>
    </xf>
    <xf borderId="0" fillId="10" fontId="5" numFmtId="2" xfId="0" applyAlignment="1" applyFill="1" applyFont="1" applyNumberFormat="1">
      <alignment horizontal="center"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horizontal="center" vertical="bottom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/>
    </xf>
    <xf borderId="1" fillId="21" fontId="5" numFmtId="164" xfId="0" applyAlignment="1" applyBorder="1" applyFill="1" applyFont="1" applyNumberFormat="1">
      <alignment horizontal="center" vertical="bottom"/>
    </xf>
    <xf borderId="2" fillId="21" fontId="5" numFmtId="164" xfId="0" applyAlignment="1" applyBorder="1" applyFill="1" applyFont="1" applyNumberFormat="1">
      <alignment horizontal="center" vertical="bottom"/>
    </xf>
    <xf borderId="3" fillId="21" fontId="5" numFmtId="164" xfId="0" applyAlignment="1" applyBorder="1" applyFill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/>
    </xf>
    <xf borderId="4" fillId="21" fontId="5" numFmtId="164" xfId="0" applyAlignment="1" applyBorder="1" applyFill="1" applyFont="1" applyNumberFormat="1">
      <alignment horizontal="center" vertical="bottom"/>
    </xf>
    <xf borderId="5" fillId="21" fontId="5" numFmtId="164" xfId="0" applyAlignment="1" applyBorder="1" applyFill="1" applyFont="1" applyNumberFormat="1">
      <alignment horizontal="center" vertical="bottom"/>
    </xf>
    <xf borderId="4" fillId="0" fontId="2" numFmtId="165" xfId="0" applyAlignment="1" applyBorder="1" applyFont="1" applyNumberFormat="1">
      <alignment horizontal="center"/>
    </xf>
    <xf borderId="5" fillId="0" fontId="2" numFmtId="165" xfId="0" applyAlignment="1" applyBorder="1" applyFont="1" applyNumberFormat="1">
      <alignment horizontal="center"/>
    </xf>
    <xf borderId="6" fillId="21" fontId="5" numFmtId="164" xfId="0" applyAlignment="1" applyBorder="1" applyFill="1" applyFont="1" applyNumberFormat="1">
      <alignment horizontal="center" vertical="bottom"/>
    </xf>
    <xf borderId="7" fillId="21" fontId="5" numFmtId="164" xfId="0" applyAlignment="1" applyBorder="1" applyFill="1" applyFont="1" applyNumberFormat="1">
      <alignment horizontal="center" vertical="bottom"/>
    </xf>
    <xf borderId="8" fillId="21" fontId="5" numFmtId="164" xfId="0" applyAlignment="1" applyBorder="1" applyFill="1" applyFont="1" applyNumberFormat="1">
      <alignment horizontal="center" vertical="bottom"/>
    </xf>
    <xf borderId="6" fillId="0" fontId="2" numFmtId="165" xfId="0" applyAlignment="1" applyBorder="1" applyFont="1" applyNumberFormat="1">
      <alignment horizontal="center"/>
    </xf>
    <xf borderId="7" fillId="0" fontId="2" numFmtId="165" xfId="0" applyAlignment="1" applyBorder="1" applyFont="1" applyNumberFormat="1">
      <alignment horizontal="center"/>
    </xf>
    <xf borderId="8" fillId="0" fontId="2" numFmtId="165" xfId="0" applyAlignment="1" applyBorder="1" applyFont="1" applyNumberFormat="1">
      <alignment horizontal="center"/>
    </xf>
    <xf borderId="1" fillId="9" fontId="5" numFmtId="164" xfId="0" applyAlignment="1" applyBorder="1" applyFill="1" applyFont="1" applyNumberFormat="1">
      <alignment horizontal="center" vertical="bottom"/>
    </xf>
    <xf borderId="2" fillId="29" fontId="5" numFmtId="164" xfId="0" applyAlignment="1" applyBorder="1" applyFill="1" applyFont="1" applyNumberFormat="1">
      <alignment horizontal="center" vertical="bottom"/>
    </xf>
    <xf borderId="2" fillId="30" fontId="5" numFmtId="164" xfId="0" applyAlignment="1" applyBorder="1" applyFill="1" applyFont="1" applyNumberFormat="1">
      <alignment horizontal="center" vertical="bottom"/>
    </xf>
    <xf borderId="2" fillId="31" fontId="5" numFmtId="164" xfId="0" applyAlignment="1" applyBorder="1" applyFill="1" applyFont="1" applyNumberFormat="1">
      <alignment horizontal="center" vertical="bottom"/>
    </xf>
    <xf borderId="3" fillId="32" fontId="5" numFmtId="164" xfId="0" applyAlignment="1" applyBorder="1" applyFill="1" applyFont="1" applyNumberFormat="1">
      <alignment horizontal="center" vertical="bottom"/>
    </xf>
    <xf borderId="1" fillId="33" fontId="5" numFmtId="165" xfId="0" applyAlignment="1" applyBorder="1" applyFill="1" applyFont="1" applyNumberFormat="1">
      <alignment horizontal="center" vertical="bottom"/>
    </xf>
    <xf borderId="2" fillId="34" fontId="5" numFmtId="165" xfId="0" applyAlignment="1" applyBorder="1" applyFill="1" applyFont="1" applyNumberFormat="1">
      <alignment horizontal="center" vertical="bottom"/>
    </xf>
    <xf borderId="2" fillId="35" fontId="5" numFmtId="165" xfId="0" applyAlignment="1" applyBorder="1" applyFill="1" applyFont="1" applyNumberFormat="1">
      <alignment horizontal="center" vertical="bottom"/>
    </xf>
    <xf borderId="2" fillId="36" fontId="5" numFmtId="165" xfId="0" applyAlignment="1" applyBorder="1" applyFill="1" applyFont="1" applyNumberFormat="1">
      <alignment horizontal="center" vertical="bottom"/>
    </xf>
    <xf borderId="3" fillId="37" fontId="5" numFmtId="165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37" fontId="5" numFmtId="165" xfId="0" applyAlignment="1" applyFill="1" applyFont="1" applyNumberFormat="1">
      <alignment horizontal="center" vertical="bottom"/>
    </xf>
    <xf borderId="4" fillId="38" fontId="5" numFmtId="164" xfId="0" applyAlignment="1" applyBorder="1" applyFill="1" applyFont="1" applyNumberFormat="1">
      <alignment horizontal="center" vertical="bottom"/>
    </xf>
    <xf borderId="0" fillId="39" fontId="5" numFmtId="164" xfId="0" applyAlignment="1" applyFill="1" applyFont="1" applyNumberFormat="1">
      <alignment horizontal="center" vertical="bottom"/>
    </xf>
    <xf borderId="0" fillId="40" fontId="5" numFmtId="164" xfId="0" applyAlignment="1" applyFill="1" applyFont="1" applyNumberFormat="1">
      <alignment horizontal="center" vertical="bottom"/>
    </xf>
    <xf borderId="0" fillId="41" fontId="5" numFmtId="164" xfId="0" applyAlignment="1" applyFill="1" applyFont="1" applyNumberFormat="1">
      <alignment horizontal="center" vertical="bottom"/>
    </xf>
    <xf borderId="5" fillId="4" fontId="5" numFmtId="164" xfId="0" applyAlignment="1" applyBorder="1" applyFill="1" applyFont="1" applyNumberFormat="1">
      <alignment horizontal="center" vertical="bottom"/>
    </xf>
    <xf borderId="4" fillId="42" fontId="5" numFmtId="165" xfId="0" applyAlignment="1" applyBorder="1" applyFill="1" applyFont="1" applyNumberFormat="1">
      <alignment horizontal="center" vertical="bottom"/>
    </xf>
    <xf borderId="0" fillId="43" fontId="5" numFmtId="165" xfId="0" applyAlignment="1" applyFill="1" applyFont="1" applyNumberFormat="1">
      <alignment horizontal="center" vertical="bottom"/>
    </xf>
    <xf borderId="0" fillId="44" fontId="5" numFmtId="165" xfId="0" applyAlignment="1" applyFill="1" applyFont="1" applyNumberFormat="1">
      <alignment horizontal="center" vertical="bottom"/>
    </xf>
    <xf borderId="0" fillId="45" fontId="5" numFmtId="165" xfId="0" applyAlignment="1" applyFill="1" applyFont="1" applyNumberFormat="1">
      <alignment horizontal="center" vertical="bottom"/>
    </xf>
    <xf borderId="5" fillId="46" fontId="5" numFmtId="165" xfId="0" applyAlignment="1" applyBorder="1" applyFill="1" applyFont="1" applyNumberFormat="1">
      <alignment horizontal="center" vertical="bottom"/>
    </xf>
    <xf borderId="0" fillId="46" fontId="5" numFmtId="165" xfId="0" applyAlignment="1" applyFill="1" applyFont="1" applyNumberFormat="1">
      <alignment horizontal="center" vertical="bottom"/>
    </xf>
    <xf borderId="4" fillId="47" fontId="5" numFmtId="164" xfId="0" applyAlignment="1" applyBorder="1" applyFill="1" applyFont="1" applyNumberFormat="1">
      <alignment horizontal="center" vertical="bottom"/>
    </xf>
    <xf borderId="0" fillId="48" fontId="5" numFmtId="164" xfId="0" applyAlignment="1" applyFill="1" applyFont="1" applyNumberFormat="1">
      <alignment horizontal="center" vertical="bottom"/>
    </xf>
    <xf borderId="0" fillId="49" fontId="5" numFmtId="164" xfId="0" applyAlignment="1" applyFill="1" applyFont="1" applyNumberFormat="1">
      <alignment horizontal="center" vertical="bottom"/>
    </xf>
    <xf borderId="5" fillId="50" fontId="5" numFmtId="164" xfId="0" applyAlignment="1" applyBorder="1" applyFill="1" applyFont="1" applyNumberFormat="1">
      <alignment horizontal="center" vertical="bottom"/>
    </xf>
    <xf borderId="4" fillId="37" fontId="5" numFmtId="165" xfId="0" applyAlignment="1" applyBorder="1" applyFill="1" applyFont="1" applyNumberFormat="1">
      <alignment horizontal="center" vertical="bottom"/>
    </xf>
    <xf borderId="0" fillId="51" fontId="5" numFmtId="165" xfId="0" applyAlignment="1" applyFill="1" applyFont="1" applyNumberFormat="1">
      <alignment horizontal="center" vertical="bottom"/>
    </xf>
    <xf borderId="0" fillId="52" fontId="5" numFmtId="165" xfId="0" applyAlignment="1" applyFill="1" applyFont="1" applyNumberFormat="1">
      <alignment horizontal="center" vertical="bottom"/>
    </xf>
    <xf borderId="0" fillId="53" fontId="5" numFmtId="165" xfId="0" applyAlignment="1" applyFill="1" applyFont="1" applyNumberFormat="1">
      <alignment horizontal="center" vertical="bottom"/>
    </xf>
    <xf borderId="5" fillId="54" fontId="5" numFmtId="165" xfId="0" applyAlignment="1" applyBorder="1" applyFill="1" applyFont="1" applyNumberFormat="1">
      <alignment horizontal="center" vertical="bottom"/>
    </xf>
    <xf borderId="0" fillId="54" fontId="5" numFmtId="165" xfId="0" applyAlignment="1" applyFill="1" applyFont="1" applyNumberFormat="1">
      <alignment horizontal="center" vertical="bottom"/>
    </xf>
    <xf borderId="4" fillId="55" fontId="5" numFmtId="164" xfId="0" applyAlignment="1" applyBorder="1" applyFill="1" applyFont="1" applyNumberFormat="1">
      <alignment horizontal="center" vertical="bottom"/>
    </xf>
    <xf borderId="0" fillId="56" fontId="5" numFmtId="164" xfId="0" applyAlignment="1" applyFill="1" applyFont="1" applyNumberFormat="1">
      <alignment horizontal="center" vertical="bottom"/>
    </xf>
    <xf borderId="0" fillId="57" fontId="5" numFmtId="164" xfId="0" applyAlignment="1" applyFill="1" applyFont="1" applyNumberFormat="1">
      <alignment horizontal="center" vertical="bottom"/>
    </xf>
    <xf borderId="5" fillId="24" fontId="5" numFmtId="164" xfId="0" applyAlignment="1" applyBorder="1" applyFill="1" applyFont="1" applyNumberFormat="1">
      <alignment horizontal="center" vertical="bottom"/>
    </xf>
    <xf borderId="4" fillId="58" fontId="5" numFmtId="165" xfId="0" applyAlignment="1" applyBorder="1" applyFill="1" applyFont="1" applyNumberFormat="1">
      <alignment horizontal="center" vertical="bottom"/>
    </xf>
    <xf borderId="0" fillId="59" fontId="5" numFmtId="165" xfId="0" applyAlignment="1" applyFill="1" applyFont="1" applyNumberFormat="1">
      <alignment horizontal="center" vertical="bottom"/>
    </xf>
    <xf borderId="0" fillId="60" fontId="5" numFmtId="165" xfId="0" applyAlignment="1" applyFill="1" applyFont="1" applyNumberFormat="1">
      <alignment horizontal="center" vertical="bottom"/>
    </xf>
    <xf borderId="0" fillId="61" fontId="5" numFmtId="165" xfId="0" applyAlignment="1" applyFill="1" applyFont="1" applyNumberFormat="1">
      <alignment horizontal="center" vertical="bottom"/>
    </xf>
    <xf borderId="5" fillId="62" fontId="5" numFmtId="165" xfId="0" applyAlignment="1" applyBorder="1" applyFill="1" applyFont="1" applyNumberFormat="1">
      <alignment horizontal="center" vertical="bottom"/>
    </xf>
    <xf borderId="0" fillId="62" fontId="5" numFmtId="165" xfId="0" applyAlignment="1" applyFill="1" applyFont="1" applyNumberFormat="1">
      <alignment horizontal="center" vertical="bottom"/>
    </xf>
    <xf borderId="6" fillId="63" fontId="5" numFmtId="164" xfId="0" applyAlignment="1" applyBorder="1" applyFill="1" applyFont="1" applyNumberFormat="1">
      <alignment horizontal="center" vertical="bottom"/>
    </xf>
    <xf borderId="7" fillId="64" fontId="5" numFmtId="164" xfId="0" applyAlignment="1" applyBorder="1" applyFill="1" applyFont="1" applyNumberFormat="1">
      <alignment horizontal="center" vertical="bottom"/>
    </xf>
    <xf borderId="7" fillId="65" fontId="5" numFmtId="164" xfId="0" applyAlignment="1" applyBorder="1" applyFill="1" applyFont="1" applyNumberFormat="1">
      <alignment horizontal="center" vertical="bottom"/>
    </xf>
    <xf borderId="7" fillId="66" fontId="5" numFmtId="164" xfId="0" applyAlignment="1" applyBorder="1" applyFill="1" applyFont="1" applyNumberFormat="1">
      <alignment horizontal="center" vertical="bottom"/>
    </xf>
    <xf borderId="8" fillId="39" fontId="5" numFmtId="164" xfId="0" applyAlignment="1" applyBorder="1" applyFill="1" applyFont="1" applyNumberFormat="1">
      <alignment horizontal="center" vertical="bottom"/>
    </xf>
    <xf borderId="6" fillId="67" fontId="5" numFmtId="165" xfId="0" applyAlignment="1" applyBorder="1" applyFill="1" applyFont="1" applyNumberFormat="1">
      <alignment horizontal="center" vertical="bottom"/>
    </xf>
    <xf borderId="7" fillId="68" fontId="5" numFmtId="165" xfId="0" applyAlignment="1" applyBorder="1" applyFill="1" applyFont="1" applyNumberFormat="1">
      <alignment horizontal="center" vertical="bottom"/>
    </xf>
    <xf borderId="7" fillId="69" fontId="5" numFmtId="165" xfId="0" applyAlignment="1" applyBorder="1" applyFill="1" applyFont="1" applyNumberFormat="1">
      <alignment horizontal="center" vertical="bottom"/>
    </xf>
    <xf borderId="7" fillId="18" fontId="5" numFmtId="165" xfId="0" applyAlignment="1" applyBorder="1" applyFill="1" applyFont="1" applyNumberFormat="1">
      <alignment horizontal="center" vertical="bottom"/>
    </xf>
    <xf borderId="8" fillId="70" fontId="5" numFmtId="165" xfId="0" applyAlignment="1" applyBorder="1" applyFill="1" applyFont="1" applyNumberFormat="1">
      <alignment horizontal="center" vertical="bottom"/>
    </xf>
    <xf borderId="0" fillId="70" fontId="5" numFmtId="165" xfId="0" applyAlignment="1" applyFill="1" applyFont="1" applyNumberFormat="1">
      <alignment horizontal="center" vertical="bottom"/>
    </xf>
    <xf borderId="1" fillId="0" fontId="5" numFmtId="2" xfId="0" applyAlignment="1" applyBorder="1" applyFont="1" applyNumberFormat="1">
      <alignment horizontal="center" vertical="bottom"/>
    </xf>
    <xf borderId="2" fillId="0" fontId="5" numFmtId="2" xfId="0" applyAlignment="1" applyBorder="1" applyFont="1" applyNumberFormat="1">
      <alignment horizontal="center" vertical="bottom"/>
    </xf>
    <xf borderId="3" fillId="0" fontId="5" numFmtId="2" xfId="0" applyAlignment="1" applyBorder="1" applyFont="1" applyNumberFormat="1">
      <alignment horizontal="center" vertical="bottom"/>
    </xf>
    <xf borderId="4" fillId="0" fontId="5" numFmtId="2" xfId="0" applyAlignment="1" applyBorder="1" applyFont="1" applyNumberFormat="1">
      <alignment horizontal="center" vertical="bottom"/>
    </xf>
    <xf borderId="0" fillId="0" fontId="5" numFmtId="2" xfId="0" applyAlignment="1" applyFont="1" applyNumberFormat="1">
      <alignment horizontal="center" vertical="bottom"/>
    </xf>
    <xf borderId="5" fillId="0" fontId="5" numFmtId="2" xfId="0" applyAlignment="1" applyBorder="1" applyFont="1" applyNumberFormat="1">
      <alignment horizontal="center" vertical="bottom"/>
    </xf>
    <xf borderId="6" fillId="0" fontId="5" numFmtId="2" xfId="0" applyAlignment="1" applyBorder="1" applyFont="1" applyNumberFormat="1">
      <alignment horizontal="center" vertical="bottom"/>
    </xf>
    <xf borderId="7" fillId="0" fontId="5" numFmtId="2" xfId="0" applyAlignment="1" applyBorder="1" applyFont="1" applyNumberFormat="1">
      <alignment horizontal="center" vertical="bottom"/>
    </xf>
    <xf borderId="8" fillId="0" fontId="5" numFmtId="2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1" fillId="31" fontId="5" numFmtId="164" xfId="0" applyAlignment="1" applyBorder="1" applyFill="1" applyFont="1" applyNumberFormat="1">
      <alignment horizontal="center" vertical="bottom"/>
    </xf>
    <xf borderId="3" fillId="31" fontId="5" numFmtId="164" xfId="0" applyAlignment="1" applyBorder="1" applyFill="1" applyFont="1" applyNumberFormat="1">
      <alignment horizontal="center" vertical="bottom"/>
    </xf>
    <xf borderId="4" fillId="31" fontId="5" numFmtId="164" xfId="0" applyAlignment="1" applyBorder="1" applyFill="1" applyFont="1" applyNumberFormat="1">
      <alignment horizontal="center" vertical="bottom"/>
    </xf>
    <xf borderId="0" fillId="31" fontId="5" numFmtId="164" xfId="0" applyAlignment="1" applyFill="1" applyFont="1" applyNumberFormat="1">
      <alignment horizontal="center" vertical="bottom"/>
    </xf>
    <xf borderId="5" fillId="31" fontId="5" numFmtId="164" xfId="0" applyAlignment="1" applyBorder="1" applyFill="1" applyFont="1" applyNumberFormat="1">
      <alignment horizontal="center" vertical="bottom"/>
    </xf>
    <xf borderId="6" fillId="31" fontId="5" numFmtId="164" xfId="0" applyAlignment="1" applyBorder="1" applyFill="1" applyFont="1" applyNumberFormat="1">
      <alignment horizontal="center" vertical="bottom"/>
    </xf>
    <xf borderId="7" fillId="31" fontId="5" numFmtId="164" xfId="0" applyAlignment="1" applyBorder="1" applyFill="1" applyFont="1" applyNumberFormat="1">
      <alignment horizontal="center" vertical="bottom"/>
    </xf>
    <xf borderId="8" fillId="31" fontId="5" numFmtId="164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 readingOrder="0" vertical="bottom"/>
    </xf>
    <xf borderId="0" fillId="0" fontId="2" numFmtId="164" xfId="0" applyFont="1" applyNumberFormat="1"/>
    <xf borderId="0" fillId="7" fontId="2" numFmtId="0" xfId="0" applyAlignment="1" applyFill="1" applyFont="1">
      <alignment horizontal="left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horizontal="left" readingOrder="0"/>
    </xf>
    <xf borderId="0" fillId="0" fontId="1" numFmtId="0" xfId="0" applyAlignment="1" applyFont="1">
      <alignment horizontal="right" readingOrder="0" shrinkToFit="0" vertical="top" wrapText="1"/>
    </xf>
    <xf borderId="0" fillId="0" fontId="10" numFmtId="0" xfId="0" applyAlignment="1" applyFont="1">
      <alignment horizontal="center" readingOrder="0"/>
    </xf>
    <xf borderId="1" fillId="71" fontId="5" numFmtId="164" xfId="0" applyAlignment="1" applyBorder="1" applyFill="1" applyFont="1" applyNumberFormat="1">
      <alignment horizontal="center" vertical="bottom"/>
    </xf>
    <xf borderId="2" fillId="72" fontId="5" numFmtId="164" xfId="0" applyAlignment="1" applyBorder="1" applyFill="1" applyFont="1" applyNumberFormat="1">
      <alignment horizontal="center" vertical="bottom"/>
    </xf>
    <xf borderId="2" fillId="73" fontId="5" numFmtId="164" xfId="0" applyAlignment="1" applyBorder="1" applyFill="1" applyFont="1" applyNumberFormat="1">
      <alignment horizontal="center" vertical="bottom"/>
    </xf>
    <xf borderId="2" fillId="69" fontId="5" numFmtId="164" xfId="0" applyAlignment="1" applyBorder="1" applyFill="1" applyFont="1" applyNumberFormat="1">
      <alignment horizontal="center" vertical="bottom"/>
    </xf>
    <xf borderId="2" fillId="74" fontId="5" numFmtId="164" xfId="0" applyAlignment="1" applyBorder="1" applyFill="1" applyFont="1" applyNumberFormat="1">
      <alignment horizontal="center" vertical="bottom"/>
    </xf>
    <xf borderId="2" fillId="71" fontId="5" numFmtId="164" xfId="0" applyAlignment="1" applyBorder="1" applyFill="1" applyFont="1" applyNumberFormat="1">
      <alignment horizontal="center" vertical="bottom"/>
    </xf>
    <xf borderId="3" fillId="74" fontId="5" numFmtId="164" xfId="0" applyAlignment="1" applyBorder="1" applyFill="1" applyFont="1" applyNumberFormat="1">
      <alignment horizontal="center" vertical="bottom"/>
    </xf>
    <xf borderId="4" fillId="75" fontId="5" numFmtId="164" xfId="0" applyAlignment="1" applyBorder="1" applyFill="1" applyFont="1" applyNumberFormat="1">
      <alignment horizontal="center" vertical="bottom"/>
    </xf>
    <xf borderId="0" fillId="76" fontId="5" numFmtId="164" xfId="0" applyAlignment="1" applyFill="1" applyFont="1" applyNumberFormat="1">
      <alignment horizontal="center" vertical="bottom"/>
    </xf>
    <xf borderId="0" fillId="77" fontId="5" numFmtId="164" xfId="0" applyAlignment="1" applyFill="1" applyFont="1" applyNumberFormat="1">
      <alignment horizontal="center" vertical="bottom"/>
    </xf>
    <xf borderId="0" fillId="78" fontId="5" numFmtId="164" xfId="0" applyAlignment="1" applyFill="1" applyFont="1" applyNumberFormat="1">
      <alignment horizontal="center" vertical="bottom"/>
    </xf>
    <xf borderId="0" fillId="75" fontId="5" numFmtId="164" xfId="0" applyAlignment="1" applyFill="1" applyFont="1" applyNumberFormat="1">
      <alignment horizontal="center" vertical="bottom"/>
    </xf>
    <xf borderId="5" fillId="78" fontId="5" numFmtId="164" xfId="0" applyAlignment="1" applyBorder="1" applyFill="1" applyFont="1" applyNumberFormat="1">
      <alignment horizontal="center" vertical="bottom"/>
    </xf>
    <xf borderId="4" fillId="79" fontId="5" numFmtId="164" xfId="0" applyAlignment="1" applyBorder="1" applyFill="1" applyFont="1" applyNumberFormat="1">
      <alignment horizontal="center" vertical="bottom"/>
    </xf>
    <xf borderId="0" fillId="80" fontId="5" numFmtId="164" xfId="0" applyAlignment="1" applyFill="1" applyFont="1" applyNumberFormat="1">
      <alignment horizontal="center" vertical="bottom"/>
    </xf>
    <xf borderId="0" fillId="81" fontId="5" numFmtId="164" xfId="0" applyAlignment="1" applyFill="1" applyFont="1" applyNumberFormat="1">
      <alignment horizontal="center" vertical="bottom"/>
    </xf>
    <xf borderId="0" fillId="70" fontId="5" numFmtId="164" xfId="0" applyAlignment="1" applyFill="1" applyFont="1" applyNumberFormat="1">
      <alignment horizontal="center" vertical="bottom"/>
    </xf>
    <xf borderId="0" fillId="82" fontId="5" numFmtId="164" xfId="0" applyAlignment="1" applyFill="1" applyFont="1" applyNumberFormat="1">
      <alignment horizontal="center" vertical="bottom"/>
    </xf>
    <xf borderId="0" fillId="79" fontId="5" numFmtId="164" xfId="0" applyAlignment="1" applyFill="1" applyFont="1" applyNumberFormat="1">
      <alignment horizontal="center" vertical="bottom"/>
    </xf>
    <xf borderId="5" fillId="82" fontId="5" numFmtId="164" xfId="0" applyAlignment="1" applyBorder="1" applyFill="1" applyFont="1" applyNumberFormat="1">
      <alignment horizontal="center" vertical="bottom"/>
    </xf>
    <xf borderId="4" fillId="83" fontId="5" numFmtId="164" xfId="0" applyAlignment="1" applyBorder="1" applyFill="1" applyFont="1" applyNumberFormat="1">
      <alignment horizontal="center" vertical="bottom"/>
    </xf>
    <xf borderId="0" fillId="84" fontId="5" numFmtId="164" xfId="0" applyAlignment="1" applyFill="1" applyFont="1" applyNumberFormat="1">
      <alignment horizontal="center" vertical="bottom"/>
    </xf>
    <xf borderId="0" fillId="85" fontId="5" numFmtId="164" xfId="0" applyAlignment="1" applyFill="1" applyFont="1" applyNumberFormat="1">
      <alignment horizontal="center" vertical="bottom"/>
    </xf>
    <xf borderId="0" fillId="86" fontId="5" numFmtId="164" xfId="0" applyAlignment="1" applyFill="1" applyFont="1" applyNumberFormat="1">
      <alignment horizontal="center" vertical="bottom"/>
    </xf>
    <xf borderId="0" fillId="83" fontId="5" numFmtId="164" xfId="0" applyAlignment="1" applyFill="1" applyFont="1" applyNumberFormat="1">
      <alignment horizontal="center" vertical="bottom"/>
    </xf>
    <xf borderId="5" fillId="19" fontId="5" numFmtId="164" xfId="0" applyAlignment="1" applyBorder="1" applyFill="1" applyFont="1" applyNumberFormat="1">
      <alignment horizontal="center" vertical="bottom"/>
    </xf>
    <xf borderId="6" fillId="7" fontId="5" numFmtId="164" xfId="0" applyAlignment="1" applyBorder="1" applyFill="1" applyFont="1" applyNumberFormat="1">
      <alignment horizontal="center" vertical="bottom"/>
    </xf>
    <xf borderId="7" fillId="87" fontId="5" numFmtId="164" xfId="0" applyAlignment="1" applyBorder="1" applyFill="1" applyFont="1" applyNumberFormat="1">
      <alignment horizontal="center" vertical="bottom"/>
    </xf>
    <xf borderId="7" fillId="7" fontId="5" numFmtId="164" xfId="0" applyAlignment="1" applyBorder="1" applyFill="1" applyFont="1" applyNumberFormat="1">
      <alignment horizontal="center" vertical="bottom"/>
    </xf>
    <xf borderId="7" fillId="88" fontId="5" numFmtId="164" xfId="0" applyAlignment="1" applyBorder="1" applyFill="1" applyFont="1" applyNumberFormat="1">
      <alignment horizontal="center" vertical="bottom"/>
    </xf>
    <xf borderId="7" fillId="89" fontId="5" numFmtId="164" xfId="0" applyAlignment="1" applyBorder="1" applyFill="1" applyFont="1" applyNumberFormat="1">
      <alignment horizontal="center" vertical="bottom"/>
    </xf>
    <xf borderId="8" fillId="89" fontId="5" numFmtId="164" xfId="0" applyAlignment="1" applyBorder="1" applyFill="1" applyFont="1" applyNumberFormat="1">
      <alignment horizontal="center" vertical="bottom"/>
    </xf>
    <xf borderId="1" fillId="90" fontId="5" numFmtId="164" xfId="0" applyAlignment="1" applyBorder="1" applyFill="1" applyFont="1" applyNumberFormat="1">
      <alignment horizontal="center" vertical="bottom"/>
    </xf>
    <xf borderId="2" fillId="91" fontId="5" numFmtId="164" xfId="0" applyAlignment="1" applyBorder="1" applyFill="1" applyFont="1" applyNumberFormat="1">
      <alignment horizontal="center" vertical="bottom"/>
    </xf>
    <xf borderId="2" fillId="92" fontId="5" numFmtId="164" xfId="0" applyAlignment="1" applyBorder="1" applyFill="1" applyFont="1" applyNumberFormat="1">
      <alignment horizontal="center" vertical="bottom"/>
    </xf>
    <xf borderId="2" fillId="7" fontId="5" numFmtId="164" xfId="0" applyAlignment="1" applyBorder="1" applyFill="1" applyFont="1" applyNumberFormat="1">
      <alignment horizontal="center" vertical="bottom"/>
    </xf>
    <xf borderId="3" fillId="69" fontId="5" numFmtId="164" xfId="0" applyAlignment="1" applyBorder="1" applyFill="1" applyFont="1" applyNumberFormat="1">
      <alignment horizontal="center" vertical="bottom"/>
    </xf>
    <xf borderId="1" fillId="0" fontId="5" numFmtId="164" xfId="0" applyAlignment="1" applyBorder="1" applyFont="1" applyNumberFormat="1">
      <alignment vertical="bottom"/>
    </xf>
    <xf borderId="2" fillId="0" fontId="5" numFmtId="164" xfId="0" applyAlignment="1" applyBorder="1" applyFont="1" applyNumberFormat="1">
      <alignment vertical="bottom"/>
    </xf>
    <xf borderId="3" fillId="0" fontId="5" numFmtId="164" xfId="0" applyAlignment="1" applyBorder="1" applyFont="1" applyNumberFormat="1">
      <alignment vertical="bottom"/>
    </xf>
    <xf borderId="4" fillId="93" fontId="5" numFmtId="164" xfId="0" applyAlignment="1" applyBorder="1" applyFill="1" applyFont="1" applyNumberFormat="1">
      <alignment horizontal="center" vertical="bottom"/>
    </xf>
    <xf borderId="0" fillId="94" fontId="5" numFmtId="164" xfId="0" applyAlignment="1" applyFill="1" applyFont="1" applyNumberFormat="1">
      <alignment horizontal="center" vertical="bottom"/>
    </xf>
    <xf borderId="0" fillId="95" fontId="5" numFmtId="164" xfId="0" applyAlignment="1" applyFill="1" applyFont="1" applyNumberFormat="1">
      <alignment horizontal="center" vertical="bottom"/>
    </xf>
    <xf borderId="0" fillId="96" fontId="5" numFmtId="164" xfId="0" applyAlignment="1" applyFill="1" applyFont="1" applyNumberFormat="1">
      <alignment horizontal="center" vertical="bottom"/>
    </xf>
    <xf borderId="5" fillId="97" fontId="5" numFmtId="164" xfId="0" applyAlignment="1" applyBorder="1" applyFill="1" applyFont="1" applyNumberFormat="1">
      <alignment horizontal="center" vertical="bottom"/>
    </xf>
    <xf borderId="4" fillId="0" fontId="5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vertical="bottom"/>
    </xf>
    <xf borderId="4" fillId="98" fontId="5" numFmtId="164" xfId="0" applyAlignment="1" applyBorder="1" applyFill="1" applyFont="1" applyNumberFormat="1">
      <alignment horizontal="center" vertical="bottom"/>
    </xf>
    <xf borderId="0" fillId="99" fontId="5" numFmtId="164" xfId="0" applyAlignment="1" applyFill="1" applyFont="1" applyNumberFormat="1">
      <alignment horizontal="center" vertical="bottom"/>
    </xf>
    <xf borderId="0" fillId="100" fontId="5" numFmtId="164" xfId="0" applyAlignment="1" applyFill="1" applyFont="1" applyNumberFormat="1">
      <alignment horizontal="center" vertical="bottom"/>
    </xf>
    <xf borderId="0" fillId="101" fontId="5" numFmtId="164" xfId="0" applyAlignment="1" applyFill="1" applyFont="1" applyNumberFormat="1">
      <alignment horizontal="center" vertical="bottom"/>
    </xf>
    <xf borderId="5" fillId="102" fontId="5" numFmtId="164" xfId="0" applyAlignment="1" applyBorder="1" applyFill="1" applyFont="1" applyNumberFormat="1">
      <alignment horizontal="center" vertical="bottom"/>
    </xf>
    <xf borderId="4" fillId="103" fontId="5" numFmtId="164" xfId="0" applyAlignment="1" applyBorder="1" applyFill="1" applyFont="1" applyNumberFormat="1">
      <alignment horizontal="center" vertical="bottom"/>
    </xf>
    <xf borderId="0" fillId="104" fontId="5" numFmtId="164" xfId="0" applyAlignment="1" applyFill="1" applyFont="1" applyNumberFormat="1">
      <alignment horizontal="center" vertical="bottom"/>
    </xf>
    <xf borderId="0" fillId="105" fontId="5" numFmtId="164" xfId="0" applyAlignment="1" applyFill="1" applyFont="1" applyNumberFormat="1">
      <alignment horizontal="center" vertical="bottom"/>
    </xf>
    <xf borderId="5" fillId="106" fontId="5" numFmtId="164" xfId="0" applyAlignment="1" applyBorder="1" applyFill="1" applyFont="1" applyNumberFormat="1">
      <alignment horizontal="center" vertical="bottom"/>
    </xf>
    <xf borderId="4" fillId="107" fontId="5" numFmtId="164" xfId="0" applyAlignment="1" applyBorder="1" applyFill="1" applyFont="1" applyNumberFormat="1">
      <alignment horizontal="center" vertical="bottom"/>
    </xf>
    <xf borderId="0" fillId="108" fontId="5" numFmtId="164" xfId="0" applyAlignment="1" applyFill="1" applyFont="1" applyNumberFormat="1">
      <alignment horizontal="center" vertical="bottom"/>
    </xf>
    <xf borderId="0" fillId="109" fontId="5" numFmtId="164" xfId="0" applyAlignment="1" applyFill="1" applyFont="1" applyNumberFormat="1">
      <alignment horizontal="center" vertical="bottom"/>
    </xf>
    <xf borderId="5" fillId="110" fontId="5" numFmtId="164" xfId="0" applyAlignment="1" applyBorder="1" applyFill="1" applyFont="1" applyNumberFormat="1">
      <alignment horizontal="center" vertical="bottom"/>
    </xf>
    <xf borderId="6" fillId="0" fontId="5" numFmtId="164" xfId="0" applyAlignment="1" applyBorder="1" applyFont="1" applyNumberFormat="1">
      <alignment vertical="bottom"/>
    </xf>
    <xf borderId="7" fillId="0" fontId="5" numFmtId="164" xfId="0" applyAlignment="1" applyBorder="1" applyFont="1" applyNumberFormat="1">
      <alignment vertical="bottom"/>
    </xf>
    <xf borderId="8" fillId="0" fontId="5" numFmtId="164" xfId="0" applyAlignment="1" applyBorder="1" applyFont="1" applyNumberFormat="1">
      <alignment vertical="bottom"/>
    </xf>
    <xf borderId="4" fillId="90" fontId="5" numFmtId="164" xfId="0" applyAlignment="1" applyBorder="1" applyFill="1" applyFont="1" applyNumberFormat="1">
      <alignment horizontal="center" vertical="bottom"/>
    </xf>
    <xf borderId="0" fillId="91" fontId="5" numFmtId="164" xfId="0" applyAlignment="1" applyFill="1" applyFont="1" applyNumberFormat="1">
      <alignment horizontal="center" vertical="bottom"/>
    </xf>
    <xf borderId="0" fillId="92" fontId="5" numFmtId="164" xfId="0" applyAlignment="1" applyFill="1" applyFont="1" applyNumberFormat="1">
      <alignment horizontal="center" vertical="bottom"/>
    </xf>
    <xf borderId="5" fillId="69" fontId="5" numFmtId="164" xfId="0" applyAlignment="1" applyBorder="1" applyFill="1" applyFont="1" applyNumberFormat="1">
      <alignment horizontal="center" vertical="bottom"/>
    </xf>
    <xf borderId="6" fillId="107" fontId="5" numFmtId="164" xfId="0" applyAlignment="1" applyBorder="1" applyFill="1" applyFont="1" applyNumberFormat="1">
      <alignment horizontal="center" vertical="bottom"/>
    </xf>
    <xf borderId="7" fillId="108" fontId="5" numFmtId="164" xfId="0" applyAlignment="1" applyBorder="1" applyFill="1" applyFont="1" applyNumberFormat="1">
      <alignment horizontal="center" vertical="bottom"/>
    </xf>
    <xf borderId="7" fillId="109" fontId="5" numFmtId="164" xfId="0" applyAlignment="1" applyBorder="1" applyFill="1" applyFont="1" applyNumberFormat="1">
      <alignment horizontal="center" vertical="bottom"/>
    </xf>
    <xf borderId="7" fillId="70" fontId="5" numFmtId="164" xfId="0" applyAlignment="1" applyBorder="1" applyFill="1" applyFont="1" applyNumberFormat="1">
      <alignment horizontal="center" vertical="bottom"/>
    </xf>
    <xf borderId="8" fillId="110" fontId="5" numFmtId="164" xfId="0" applyAlignment="1" applyBorder="1" applyFill="1" applyFont="1" applyNumberFormat="1">
      <alignment horizontal="center" vertical="bottom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999999"/>
          <bgColor rgb="FF99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11" Type="http://schemas.openxmlformats.org/officeDocument/2006/relationships/image" Target="../media/image9.png"/><Relationship Id="rId10" Type="http://schemas.openxmlformats.org/officeDocument/2006/relationships/image" Target="../media/image3.png"/><Relationship Id="rId12" Type="http://schemas.openxmlformats.org/officeDocument/2006/relationships/image" Target="../media/image11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1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2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11" Type="http://schemas.openxmlformats.org/officeDocument/2006/relationships/image" Target="../media/image13.png"/><Relationship Id="rId10" Type="http://schemas.openxmlformats.org/officeDocument/2006/relationships/image" Target="../media/image3.png"/><Relationship Id="rId12" Type="http://schemas.openxmlformats.org/officeDocument/2006/relationships/image" Target="../media/image10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6.png"/><Relationship Id="rId8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76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76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76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58</xdr:row>
      <xdr:rowOff>85725</xdr:rowOff>
    </xdr:from>
    <xdr:ext cx="6953250" cy="876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12</xdr:row>
      <xdr:rowOff>180975</xdr:rowOff>
    </xdr:from>
    <xdr:ext cx="1962150" cy="6286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27</xdr:row>
      <xdr:rowOff>180975</xdr:rowOff>
    </xdr:from>
    <xdr:ext cx="1981200" cy="8001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42</xdr:row>
      <xdr:rowOff>171450</xdr:rowOff>
    </xdr:from>
    <xdr:ext cx="2038350" cy="7810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88</xdr:row>
      <xdr:rowOff>95250</xdr:rowOff>
    </xdr:from>
    <xdr:ext cx="2743200" cy="14287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</xdr:row>
      <xdr:rowOff>57150</xdr:rowOff>
    </xdr:from>
    <xdr:ext cx="4857750" cy="5810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5</xdr:row>
      <xdr:rowOff>190500</xdr:rowOff>
    </xdr:from>
    <xdr:ext cx="5381625" cy="781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145</xdr:row>
      <xdr:rowOff>133350</xdr:rowOff>
    </xdr:from>
    <xdr:ext cx="5381625" cy="781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253</xdr:row>
      <xdr:rowOff>161925</xdr:rowOff>
    </xdr:from>
    <xdr:ext cx="8324850" cy="933450"/>
    <xdr:pic>
      <xdr:nvPicPr>
        <xdr:cNvPr id="0" name="image1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125</xdr:row>
      <xdr:rowOff>190500</xdr:rowOff>
    </xdr:from>
    <xdr:ext cx="2095500" cy="8001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119</xdr:row>
      <xdr:rowOff>123825</xdr:rowOff>
    </xdr:from>
    <xdr:ext cx="5915025" cy="78105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342900</xdr:colOff>
      <xdr:row>344</xdr:row>
      <xdr:rowOff>85725</xdr:rowOff>
    </xdr:from>
    <xdr:ext cx="4438650" cy="628650"/>
    <xdr:pic>
      <xdr:nvPicPr>
        <xdr:cNvPr id="0" name="image9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363</xdr:row>
      <xdr:rowOff>57150</xdr:rowOff>
    </xdr:from>
    <xdr:ext cx="1438275" cy="495300"/>
    <xdr:pic>
      <xdr:nvPicPr>
        <xdr:cNvPr id="0" name="image11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</xdr:colOff>
      <xdr:row>74</xdr:row>
      <xdr:rowOff>28575</xdr:rowOff>
    </xdr:from>
    <xdr:ext cx="5705475" cy="628650"/>
    <xdr:grpSp>
      <xdr:nvGrpSpPr>
        <xdr:cNvPr id="2" name="Shape 2" title="Drawing"/>
        <xdr:cNvGrpSpPr/>
      </xdr:nvGrpSpPr>
      <xdr:grpSpPr>
        <a:xfrm>
          <a:off x="1465975" y="912177"/>
          <a:ext cx="4287525" cy="819198"/>
          <a:chOff x="1465975" y="912177"/>
          <a:chExt cx="4287525" cy="819198"/>
        </a:xfrm>
      </xdr:grpSpPr>
      <xdr:sp>
        <xdr:nvSpPr>
          <xdr:cNvPr id="3" name="Shape 3"/>
          <xdr:cNvSpPr/>
        </xdr:nvSpPr>
        <xdr:spPr>
          <a:xfrm>
            <a:off x="1486075" y="994050"/>
            <a:ext cx="4093400" cy="737325"/>
          </a:xfrm>
          <a:custGeom>
            <a:rect b="b" l="l" r="r" t="t"/>
            <a:pathLst>
              <a:path extrusionOk="0" h="29493" w="163736">
                <a:moveTo>
                  <a:pt x="0" y="9640"/>
                </a:moveTo>
                <a:cubicBezTo>
                  <a:pt x="11332" y="9640"/>
                  <a:pt x="21887" y="15549"/>
                  <a:pt x="32934" y="18074"/>
                </a:cubicBezTo>
                <a:cubicBezTo>
                  <a:pt x="59162" y="24069"/>
                  <a:pt x="85981" y="30490"/>
                  <a:pt x="112860" y="29320"/>
                </a:cubicBezTo>
                <a:cubicBezTo>
                  <a:pt x="127078" y="28701"/>
                  <a:pt x="142275" y="27546"/>
                  <a:pt x="154631" y="20484"/>
                </a:cubicBezTo>
                <a:cubicBezTo>
                  <a:pt x="160999" y="16845"/>
                  <a:pt x="165937" y="6563"/>
                  <a:pt x="162664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5321725" y="912177"/>
            <a:ext cx="431775" cy="282675"/>
          </a:xfrm>
          <a:custGeom>
            <a:rect b="b" l="l" r="r" t="t"/>
            <a:pathLst>
              <a:path extrusionOk="0" h="11307" w="17271">
                <a:moveTo>
                  <a:pt x="0" y="8898"/>
                </a:moveTo>
                <a:cubicBezTo>
                  <a:pt x="3013" y="5885"/>
                  <a:pt x="5104" y="1097"/>
                  <a:pt x="9238" y="62"/>
                </a:cubicBezTo>
                <a:cubicBezTo>
                  <a:pt x="10227" y="-186"/>
                  <a:pt x="9987" y="1962"/>
                  <a:pt x="10443" y="2874"/>
                </a:cubicBezTo>
                <a:cubicBezTo>
                  <a:pt x="12060" y="6110"/>
                  <a:pt x="14036" y="9690"/>
                  <a:pt x="17271" y="11308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1465975" y="1074375"/>
            <a:ext cx="90375" cy="160675"/>
          </a:xfrm>
          <a:custGeom>
            <a:rect b="b" l="l" r="r" t="t"/>
            <a:pathLst>
              <a:path extrusionOk="0" h="6427" w="3615">
                <a:moveTo>
                  <a:pt x="3615" y="6427"/>
                </a:moveTo>
                <a:cubicBezTo>
                  <a:pt x="1877" y="4689"/>
                  <a:pt x="0" y="2458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3</xdr:col>
      <xdr:colOff>152400</xdr:colOff>
      <xdr:row>74</xdr:row>
      <xdr:rowOff>57150</xdr:rowOff>
    </xdr:from>
    <xdr:ext cx="8562975" cy="809625"/>
    <xdr:grpSp>
      <xdr:nvGrpSpPr>
        <xdr:cNvPr id="2" name="Shape 2" title="Drawing"/>
        <xdr:cNvGrpSpPr/>
      </xdr:nvGrpSpPr>
      <xdr:grpSpPr>
        <a:xfrm>
          <a:off x="1235050" y="709728"/>
          <a:ext cx="5492425" cy="786622"/>
          <a:chOff x="1235050" y="709728"/>
          <a:chExt cx="5492425" cy="786622"/>
        </a:xfrm>
      </xdr:grpSpPr>
      <xdr:sp>
        <xdr:nvSpPr>
          <xdr:cNvPr id="6" name="Shape 6"/>
          <xdr:cNvSpPr/>
        </xdr:nvSpPr>
        <xdr:spPr>
          <a:xfrm>
            <a:off x="1235050" y="712900"/>
            <a:ext cx="5281550" cy="783450"/>
          </a:xfrm>
          <a:custGeom>
            <a:rect b="b" l="l" r="r" t="t"/>
            <a:pathLst>
              <a:path extrusionOk="0" h="31338" w="211262">
                <a:moveTo>
                  <a:pt x="0" y="0"/>
                </a:moveTo>
                <a:cubicBezTo>
                  <a:pt x="34552" y="21605"/>
                  <a:pt x="78099" y="24666"/>
                  <a:pt x="118483" y="30123"/>
                </a:cubicBezTo>
                <a:cubicBezTo>
                  <a:pt x="145582" y="33785"/>
                  <a:pt x="177402" y="29152"/>
                  <a:pt x="198410" y="11648"/>
                </a:cubicBezTo>
                <a:cubicBezTo>
                  <a:pt x="202587" y="8168"/>
                  <a:pt x="208833" y="6471"/>
                  <a:pt x="211262" y="1607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6094875" y="709728"/>
            <a:ext cx="632600" cy="153775"/>
          </a:xfrm>
          <a:custGeom>
            <a:rect b="b" l="l" r="r" t="t"/>
            <a:pathLst>
              <a:path extrusionOk="0" h="6151" w="25304">
                <a:moveTo>
                  <a:pt x="25304" y="6152"/>
                </a:moveTo>
                <a:cubicBezTo>
                  <a:pt x="22510" y="4120"/>
                  <a:pt x="20257" y="805"/>
                  <a:pt x="16869" y="127"/>
                </a:cubicBezTo>
                <a:cubicBezTo>
                  <a:pt x="14334" y="-381"/>
                  <a:pt x="12164" y="2378"/>
                  <a:pt x="9640" y="2939"/>
                </a:cubicBezTo>
                <a:cubicBezTo>
                  <a:pt x="6460" y="3645"/>
                  <a:pt x="2915" y="3091"/>
                  <a:pt x="0" y="454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9525</xdr:colOff>
      <xdr:row>74</xdr:row>
      <xdr:rowOff>9525</xdr:rowOff>
    </xdr:from>
    <xdr:ext cx="2962275" cy="419100"/>
    <xdr:grpSp>
      <xdr:nvGrpSpPr>
        <xdr:cNvPr id="2" name="Shape 2" title="Drawing"/>
        <xdr:cNvGrpSpPr/>
      </xdr:nvGrpSpPr>
      <xdr:grpSpPr>
        <a:xfrm>
          <a:off x="1355525" y="615514"/>
          <a:ext cx="2942025" cy="397736"/>
          <a:chOff x="1355525" y="615514"/>
          <a:chExt cx="2942025" cy="397736"/>
        </a:xfrm>
      </xdr:grpSpPr>
      <xdr:sp>
        <xdr:nvSpPr>
          <xdr:cNvPr id="8" name="Shape 8"/>
          <xdr:cNvSpPr/>
        </xdr:nvSpPr>
        <xdr:spPr>
          <a:xfrm>
            <a:off x="1355525" y="632575"/>
            <a:ext cx="2811500" cy="380675"/>
          </a:xfrm>
          <a:custGeom>
            <a:rect b="b" l="l" r="r" t="t"/>
            <a:pathLst>
              <a:path extrusionOk="0" h="15227" w="112460">
                <a:moveTo>
                  <a:pt x="0" y="3615"/>
                </a:moveTo>
                <a:cubicBezTo>
                  <a:pt x="22256" y="20304"/>
                  <a:pt x="55681" y="15298"/>
                  <a:pt x="83140" y="10845"/>
                </a:cubicBezTo>
                <a:cubicBezTo>
                  <a:pt x="93426" y="9177"/>
                  <a:pt x="107800" y="9320"/>
                  <a:pt x="11246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9" name="Shape 9"/>
          <xdr:cNvSpPr/>
        </xdr:nvSpPr>
        <xdr:spPr>
          <a:xfrm>
            <a:off x="3785450" y="615514"/>
            <a:ext cx="512100" cy="137550"/>
          </a:xfrm>
          <a:custGeom>
            <a:rect b="b" l="l" r="r" t="t"/>
            <a:pathLst>
              <a:path extrusionOk="0" h="5502" w="20484">
                <a:moveTo>
                  <a:pt x="20484" y="5100"/>
                </a:moveTo>
                <a:cubicBezTo>
                  <a:pt x="17836" y="3445"/>
                  <a:pt x="15481" y="1037"/>
                  <a:pt x="12451" y="281"/>
                </a:cubicBezTo>
                <a:cubicBezTo>
                  <a:pt x="8085" y="-809"/>
                  <a:pt x="3182" y="2320"/>
                  <a:pt x="0" y="550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</xdr:col>
      <xdr:colOff>95250</xdr:colOff>
      <xdr:row>56</xdr:row>
      <xdr:rowOff>85725</xdr:rowOff>
    </xdr:from>
    <xdr:ext cx="6953250" cy="8763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10</xdr:row>
      <xdr:rowOff>180975</xdr:rowOff>
    </xdr:from>
    <xdr:ext cx="1962150" cy="62865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314325</xdr:colOff>
      <xdr:row>25</xdr:row>
      <xdr:rowOff>180975</xdr:rowOff>
    </xdr:from>
    <xdr:ext cx="1981200" cy="8001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247650</xdr:colOff>
      <xdr:row>40</xdr:row>
      <xdr:rowOff>171450</xdr:rowOff>
    </xdr:from>
    <xdr:ext cx="2038350" cy="781050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180975</xdr:colOff>
      <xdr:row>86</xdr:row>
      <xdr:rowOff>95250</xdr:rowOff>
    </xdr:from>
    <xdr:ext cx="2743200" cy="142875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0</xdr:row>
      <xdr:rowOff>57150</xdr:rowOff>
    </xdr:from>
    <xdr:ext cx="4857750" cy="5810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3</xdr:row>
      <xdr:rowOff>190500</xdr:rowOff>
    </xdr:from>
    <xdr:ext cx="5381625" cy="781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247650</xdr:colOff>
      <xdr:row>143</xdr:row>
      <xdr:rowOff>133350</xdr:rowOff>
    </xdr:from>
    <xdr:ext cx="5381625" cy="781050"/>
    <xdr:pic>
      <xdr:nvPicPr>
        <xdr:cNvPr id="0" name="image6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251</xdr:row>
      <xdr:rowOff>161925</xdr:rowOff>
    </xdr:from>
    <xdr:ext cx="8324850" cy="933450"/>
    <xdr:pic>
      <xdr:nvPicPr>
        <xdr:cNvPr id="0" name="image14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123</xdr:row>
      <xdr:rowOff>190500</xdr:rowOff>
    </xdr:from>
    <xdr:ext cx="2095500" cy="800100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117</xdr:row>
      <xdr:rowOff>123825</xdr:rowOff>
    </xdr:from>
    <xdr:ext cx="5915025" cy="781050"/>
    <xdr:pic>
      <xdr:nvPicPr>
        <xdr:cNvPr id="0" name="image3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342</xdr:row>
      <xdr:rowOff>38100</xdr:rowOff>
    </xdr:from>
    <xdr:ext cx="5381625" cy="733425"/>
    <xdr:pic>
      <xdr:nvPicPr>
        <xdr:cNvPr id="0" name="image13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359</xdr:row>
      <xdr:rowOff>76200</xdr:rowOff>
    </xdr:from>
    <xdr:ext cx="1914525" cy="733425"/>
    <xdr:pic>
      <xdr:nvPicPr>
        <xdr:cNvPr id="0" name="image10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4" t="s">
        <v>9</v>
      </c>
      <c r="AA2" s="4"/>
      <c r="AB2" s="4"/>
      <c r="AC2" s="4"/>
      <c r="AD2" s="4"/>
      <c r="AE2" s="4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4" t="s">
        <v>0</v>
      </c>
      <c r="AA12" s="4"/>
      <c r="AB12" s="4"/>
      <c r="AC12" s="4"/>
      <c r="AD12" s="4"/>
      <c r="AE12" s="4"/>
    </row>
    <row r="13">
      <c r="B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>
      <c r="C14" s="5"/>
      <c r="I14" s="6" t="s">
        <v>1</v>
      </c>
      <c r="J14" s="7">
        <f t="shared" ref="J14:N14" si="1">NORMINV(rand(),0, 1)</f>
        <v>0.6765098384</v>
      </c>
      <c r="K14" s="8">
        <f t="shared" si="1"/>
        <v>0.3900435707</v>
      </c>
      <c r="L14" s="8">
        <f t="shared" si="1"/>
        <v>0.6560576379</v>
      </c>
      <c r="M14" s="8">
        <f t="shared" si="1"/>
        <v>0.6484830075</v>
      </c>
      <c r="N14" s="9">
        <f t="shared" si="1"/>
        <v>-0.6153617511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>
      <c r="I15" s="6" t="s">
        <v>2</v>
      </c>
      <c r="J15" s="11">
        <f t="shared" ref="J15:N15" si="2">NORMINV(rand(),0, 1)</f>
        <v>0.8287031586</v>
      </c>
      <c r="K15" s="10">
        <f t="shared" si="2"/>
        <v>-0.5813004796</v>
      </c>
      <c r="L15" s="10">
        <f t="shared" si="2"/>
        <v>0.3098979502</v>
      </c>
      <c r="M15" s="10">
        <f t="shared" si="2"/>
        <v>0.1850436828</v>
      </c>
      <c r="N15" s="12">
        <f t="shared" si="2"/>
        <v>0.5926404808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>
      <c r="I16" s="1"/>
      <c r="J16" s="11">
        <f t="shared" ref="J16:N16" si="3">NORMINV(rand(),0, 1)</f>
        <v>0.8474363203</v>
      </c>
      <c r="K16" s="10">
        <f t="shared" si="3"/>
        <v>0.02825321743</v>
      </c>
      <c r="L16" s="10">
        <f t="shared" si="3"/>
        <v>-0.5292973525</v>
      </c>
      <c r="M16" s="10">
        <f t="shared" si="3"/>
        <v>0.3329222659</v>
      </c>
      <c r="N16" s="12">
        <f t="shared" si="3"/>
        <v>0.409008808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I17" s="1"/>
      <c r="J17" s="11">
        <f t="shared" ref="J17:N17" si="4">NORMINV(rand(),0, 1)</f>
        <v>0.4079979777</v>
      </c>
      <c r="K17" s="10">
        <f t="shared" si="4"/>
        <v>-0.4338066277</v>
      </c>
      <c r="L17" s="10">
        <f t="shared" si="4"/>
        <v>-0.3901736089</v>
      </c>
      <c r="M17" s="10">
        <f t="shared" si="4"/>
        <v>-1.171895866</v>
      </c>
      <c r="N17" s="12">
        <f t="shared" si="4"/>
        <v>0.2876326565</v>
      </c>
      <c r="O17" s="3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I18" s="1"/>
      <c r="J18" s="13">
        <f t="shared" ref="J18:N18" si="5">NORMINV(rand(),0, 1)</f>
        <v>-2.341251397</v>
      </c>
      <c r="K18" s="14">
        <f t="shared" si="5"/>
        <v>-0.2913414647</v>
      </c>
      <c r="L18" s="14">
        <f t="shared" si="5"/>
        <v>-0.2532399507</v>
      </c>
      <c r="M18" s="14">
        <f t="shared" si="5"/>
        <v>0.2534097431</v>
      </c>
      <c r="N18" s="15">
        <f t="shared" si="5"/>
        <v>-1.120412719</v>
      </c>
      <c r="O18" s="3"/>
      <c r="P18" s="10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I19" s="2"/>
      <c r="J19" s="1"/>
      <c r="K19" s="8"/>
      <c r="L19" s="16" t="s">
        <v>3</v>
      </c>
      <c r="M19" s="17"/>
      <c r="N19" s="8"/>
      <c r="O19" s="18"/>
      <c r="P19" s="10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B20" s="1"/>
      <c r="C20" s="2"/>
      <c r="D20" s="2"/>
      <c r="E20" s="2"/>
      <c r="F20" s="2"/>
      <c r="G20" s="2"/>
      <c r="H20" s="2"/>
      <c r="I20" s="2"/>
      <c r="J20" s="2"/>
      <c r="K20" s="2"/>
      <c r="L20" s="17" t="s">
        <v>3</v>
      </c>
      <c r="M20" s="17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B21" s="6" t="s">
        <v>4</v>
      </c>
      <c r="C21" s="7">
        <f t="shared" ref="C21:G21" si="6">NORMINV(rand(),0, 1)</f>
        <v>0.3917166805</v>
      </c>
      <c r="D21" s="8">
        <f t="shared" si="6"/>
        <v>-1.150625767</v>
      </c>
      <c r="E21" s="8">
        <f t="shared" si="6"/>
        <v>-1.193742622</v>
      </c>
      <c r="F21" s="8">
        <f t="shared" si="6"/>
        <v>-0.1223360094</v>
      </c>
      <c r="G21" s="8">
        <f t="shared" si="6"/>
        <v>-1.721203925</v>
      </c>
      <c r="H21" s="11"/>
      <c r="I21" s="6" t="s">
        <v>5</v>
      </c>
      <c r="J21" s="7"/>
      <c r="K21" s="8"/>
      <c r="L21" s="8"/>
      <c r="M21" s="8"/>
      <c r="N21" s="9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B22" s="1"/>
      <c r="C22" s="11">
        <f t="shared" ref="C22:G22" si="7">NORMINV(rand(),0, 1)</f>
        <v>-0.9912820594</v>
      </c>
      <c r="D22" s="10">
        <f t="shared" si="7"/>
        <v>0.3641122714</v>
      </c>
      <c r="E22" s="10">
        <f t="shared" si="7"/>
        <v>-1.049277985</v>
      </c>
      <c r="F22" s="10">
        <f t="shared" si="7"/>
        <v>-1.302445905</v>
      </c>
      <c r="G22" s="10">
        <f t="shared" si="7"/>
        <v>1.114867025</v>
      </c>
      <c r="H22" s="11"/>
      <c r="I22" s="6" t="s">
        <v>6</v>
      </c>
      <c r="J22" s="11"/>
      <c r="K22" s="10"/>
      <c r="L22" s="10"/>
      <c r="M22" s="10"/>
      <c r="N22" s="12"/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B23" s="1"/>
      <c r="C23" s="11">
        <f t="shared" ref="C23:G23" si="8">NORMINV(rand(),0, 1)</f>
        <v>1.679585361</v>
      </c>
      <c r="D23" s="10">
        <f t="shared" si="8"/>
        <v>-0.4127089744</v>
      </c>
      <c r="E23" s="10">
        <f t="shared" si="8"/>
        <v>-1.083114107</v>
      </c>
      <c r="F23" s="10">
        <f t="shared" si="8"/>
        <v>2.595903712</v>
      </c>
      <c r="G23" s="10">
        <f t="shared" si="8"/>
        <v>-0.2497448958</v>
      </c>
      <c r="H23" s="19" t="s">
        <v>7</v>
      </c>
      <c r="I23" s="17" t="s">
        <v>7</v>
      </c>
      <c r="J23" s="11"/>
      <c r="K23" s="10"/>
      <c r="L23" s="10"/>
      <c r="M23" s="10"/>
      <c r="N23" s="12"/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B24" s="1"/>
      <c r="C24" s="11">
        <f t="shared" ref="C24:G24" si="9">NORMINV(rand(),0, 1)</f>
        <v>-0.7767467785</v>
      </c>
      <c r="D24" s="10">
        <f t="shared" si="9"/>
        <v>0.5546810988</v>
      </c>
      <c r="E24" s="10">
        <f t="shared" si="9"/>
        <v>0.5732810753</v>
      </c>
      <c r="F24" s="10">
        <f t="shared" si="9"/>
        <v>-0.2004186611</v>
      </c>
      <c r="G24" s="10">
        <f t="shared" si="9"/>
        <v>1.08996555</v>
      </c>
      <c r="H24" s="11"/>
      <c r="I24" s="2"/>
      <c r="J24" s="11"/>
      <c r="K24" s="10"/>
      <c r="L24" s="10"/>
      <c r="M24" s="10"/>
      <c r="N24" s="12"/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B25" s="1"/>
      <c r="C25" s="13">
        <f t="shared" ref="C25:G25" si="10">NORMINV(rand(),0, 1)</f>
        <v>-1.349918859</v>
      </c>
      <c r="D25" s="14">
        <f t="shared" si="10"/>
        <v>1.612860774</v>
      </c>
      <c r="E25" s="14">
        <f t="shared" si="10"/>
        <v>-0.5725014232</v>
      </c>
      <c r="F25" s="14">
        <f t="shared" si="10"/>
        <v>-1.998182742</v>
      </c>
      <c r="G25" s="14">
        <f t="shared" si="10"/>
        <v>-0.1136480067</v>
      </c>
      <c r="H25" s="11"/>
      <c r="I25" s="2"/>
      <c r="J25" s="13"/>
      <c r="K25" s="14"/>
      <c r="L25" s="14"/>
      <c r="M25" s="14"/>
      <c r="N25" s="15"/>
      <c r="O25" s="3"/>
      <c r="P25" s="10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O26" s="3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4" t="s">
        <v>8</v>
      </c>
      <c r="AA27" s="4"/>
      <c r="AB27" s="4"/>
      <c r="AC27" s="4"/>
      <c r="AD27" s="4"/>
      <c r="AE27" s="4"/>
    </row>
    <row r="28">
      <c r="B28" s="1"/>
      <c r="C28" s="10"/>
      <c r="D28" s="10"/>
      <c r="E28" s="10"/>
      <c r="F28" s="10"/>
      <c r="G28" s="10"/>
      <c r="H28" s="10"/>
      <c r="I28" s="2"/>
      <c r="J28" s="2"/>
      <c r="K28" s="10"/>
      <c r="L28" s="10"/>
      <c r="M28" s="10"/>
      <c r="N28" s="10"/>
      <c r="O28" s="18"/>
      <c r="P28" s="10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C29" s="5"/>
      <c r="I29" s="6" t="s">
        <v>1</v>
      </c>
      <c r="J29" s="7">
        <f t="array" ref="J29:N33">J14:N18</f>
        <v>0.6765098384</v>
      </c>
      <c r="K29" s="8">
        <v>0.3900435706539263</v>
      </c>
      <c r="L29" s="8">
        <v>0.6560576379180516</v>
      </c>
      <c r="M29" s="8">
        <v>0.6484830075375</v>
      </c>
      <c r="N29" s="9">
        <v>-0.6153617510774058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I30" s="6" t="s">
        <v>2</v>
      </c>
      <c r="J30" s="11">
        <v>0.8287031585550959</v>
      </c>
      <c r="K30" s="10">
        <v>-0.5813004796044884</v>
      </c>
      <c r="L30" s="10">
        <v>0.30989795018561683</v>
      </c>
      <c r="M30" s="10">
        <v>0.18504368281388203</v>
      </c>
      <c r="N30" s="12">
        <v>0.5926404808432721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I31" s="1"/>
      <c r="J31" s="11">
        <v>0.8474363202816402</v>
      </c>
      <c r="K31" s="10">
        <v>0.028253217432117755</v>
      </c>
      <c r="L31" s="10">
        <v>-0.5292973525455772</v>
      </c>
      <c r="M31" s="10">
        <v>0.3329222659064594</v>
      </c>
      <c r="N31" s="12">
        <v>0.40900880798366646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I32" s="1"/>
      <c r="J32" s="11">
        <v>0.4079979777424646</v>
      </c>
      <c r="K32" s="10">
        <v>-0.4338066277135132</v>
      </c>
      <c r="L32" s="10">
        <v>-0.390173608911219</v>
      </c>
      <c r="M32" s="10">
        <v>-1.1718958664913244</v>
      </c>
      <c r="N32" s="12">
        <v>0.2876326565106208</v>
      </c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I33" s="1"/>
      <c r="J33" s="13">
        <v>-2.3412513971915225</v>
      </c>
      <c r="K33" s="14">
        <v>-0.29134146473670164</v>
      </c>
      <c r="L33" s="14">
        <v>-0.25323995067290805</v>
      </c>
      <c r="M33" s="14">
        <v>0.25340974314570663</v>
      </c>
      <c r="N33" s="15">
        <v>-1.1204127185943555</v>
      </c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I34" s="2"/>
      <c r="J34" s="1"/>
      <c r="K34" s="8"/>
      <c r="L34" s="16" t="s">
        <v>3</v>
      </c>
      <c r="M34" s="17"/>
      <c r="N34" s="8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B35" s="1"/>
      <c r="C35" s="2"/>
      <c r="D35" s="2"/>
      <c r="E35" s="2"/>
      <c r="F35" s="2"/>
      <c r="G35" s="2"/>
      <c r="H35" s="2"/>
      <c r="I35" s="2"/>
      <c r="J35" s="2"/>
      <c r="K35" s="2"/>
      <c r="L35" s="17" t="s">
        <v>3</v>
      </c>
      <c r="M35" s="17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B36" s="6" t="s">
        <v>10</v>
      </c>
      <c r="C36" s="7">
        <f t="shared" ref="C36:G36" si="11">NORMINV(rand(),0, 1)</f>
        <v>0.5574790455</v>
      </c>
      <c r="D36" s="8">
        <f t="shared" si="11"/>
        <v>1.060047765</v>
      </c>
      <c r="E36" s="8">
        <f t="shared" si="11"/>
        <v>-0.1689002895</v>
      </c>
      <c r="F36" s="8">
        <f t="shared" si="11"/>
        <v>1.102608048</v>
      </c>
      <c r="G36" s="8">
        <f t="shared" si="11"/>
        <v>-1.04869949</v>
      </c>
      <c r="H36" s="11"/>
      <c r="I36" s="6" t="s">
        <v>11</v>
      </c>
      <c r="J36" s="7"/>
      <c r="K36" s="8"/>
      <c r="L36" s="8"/>
      <c r="M36" s="8"/>
      <c r="N36" s="9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B37" s="1"/>
      <c r="C37" s="11">
        <f t="shared" ref="C37:G37" si="12">NORMINV(rand(),0, 1)</f>
        <v>0.3686137198</v>
      </c>
      <c r="D37" s="10">
        <f t="shared" si="12"/>
        <v>-0.8230471129</v>
      </c>
      <c r="E37" s="10">
        <f t="shared" si="12"/>
        <v>-1.156934666</v>
      </c>
      <c r="F37" s="10">
        <f t="shared" si="12"/>
        <v>0.78929919</v>
      </c>
      <c r="G37" s="10">
        <f t="shared" si="12"/>
        <v>0.1320247741</v>
      </c>
      <c r="H37" s="11"/>
      <c r="I37" s="6" t="s">
        <v>12</v>
      </c>
      <c r="J37" s="11"/>
      <c r="K37" s="10"/>
      <c r="L37" s="10"/>
      <c r="M37" s="10"/>
      <c r="N37" s="1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B38" s="1"/>
      <c r="C38" s="11">
        <f t="shared" ref="C38:G38" si="13">NORMINV(rand(),0, 1)</f>
        <v>0.5007293639</v>
      </c>
      <c r="D38" s="10">
        <f t="shared" si="13"/>
        <v>0.8935693026</v>
      </c>
      <c r="E38" s="10">
        <f t="shared" si="13"/>
        <v>-1.133326474</v>
      </c>
      <c r="F38" s="10">
        <f t="shared" si="13"/>
        <v>0.163964984</v>
      </c>
      <c r="G38" s="10">
        <f t="shared" si="13"/>
        <v>-0.5673555116</v>
      </c>
      <c r="H38" s="19" t="s">
        <v>7</v>
      </c>
      <c r="I38" s="17" t="s">
        <v>7</v>
      </c>
      <c r="J38" s="11"/>
      <c r="K38" s="10"/>
      <c r="L38" s="10"/>
      <c r="M38" s="10"/>
      <c r="N38" s="1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B39" s="1"/>
      <c r="C39" s="11">
        <f t="shared" ref="C39:G39" si="14">NORMINV(rand(),0, 1)</f>
        <v>-1.549016055</v>
      </c>
      <c r="D39" s="10">
        <f t="shared" si="14"/>
        <v>0.3866865216</v>
      </c>
      <c r="E39" s="10">
        <f t="shared" si="14"/>
        <v>-0.9297244402</v>
      </c>
      <c r="F39" s="10">
        <f t="shared" si="14"/>
        <v>-0.2067247247</v>
      </c>
      <c r="G39" s="10">
        <f t="shared" si="14"/>
        <v>-0.6216222098</v>
      </c>
      <c r="H39" s="11"/>
      <c r="I39" s="2"/>
      <c r="J39" s="11"/>
      <c r="K39" s="10"/>
      <c r="L39" s="10"/>
      <c r="M39" s="10"/>
      <c r="N39" s="1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B40" s="1"/>
      <c r="C40" s="13">
        <f t="shared" ref="C40:G40" si="15">NORMINV(rand(),0, 1)</f>
        <v>0.6758094818</v>
      </c>
      <c r="D40" s="14">
        <f t="shared" si="15"/>
        <v>-1.138333797</v>
      </c>
      <c r="E40" s="14">
        <f t="shared" si="15"/>
        <v>-0.1636308404</v>
      </c>
      <c r="F40" s="14">
        <f t="shared" si="15"/>
        <v>-2.393765643</v>
      </c>
      <c r="G40" s="14">
        <f t="shared" si="15"/>
        <v>-0.7920481323</v>
      </c>
      <c r="H40" s="11"/>
      <c r="I40" s="2"/>
      <c r="J40" s="13"/>
      <c r="K40" s="14"/>
      <c r="L40" s="14"/>
      <c r="M40" s="14"/>
      <c r="N40" s="15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B41" s="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4" t="s">
        <v>13</v>
      </c>
      <c r="AA42" s="4"/>
      <c r="AB42" s="4"/>
      <c r="AC42" s="4"/>
      <c r="AD42" s="4"/>
      <c r="AE42" s="4"/>
    </row>
    <row r="43">
      <c r="B43" s="1"/>
      <c r="C43" s="10"/>
      <c r="D43" s="10"/>
      <c r="E43" s="10"/>
      <c r="F43" s="10"/>
      <c r="G43" s="10"/>
      <c r="H43" s="10"/>
      <c r="I43" s="2"/>
      <c r="J43" s="2"/>
      <c r="K43" s="10"/>
      <c r="L43" s="10"/>
      <c r="M43" s="10"/>
      <c r="N43" s="10"/>
      <c r="O43" s="18"/>
      <c r="P43" s="10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C44" s="5"/>
      <c r="I44" s="6" t="s">
        <v>1</v>
      </c>
      <c r="J44" s="20">
        <f t="array" ref="J44:N48">J14:N18</f>
        <v>0.6765098384</v>
      </c>
      <c r="K44" s="8">
        <v>0.3900435706539263</v>
      </c>
      <c r="L44" s="8">
        <v>0.6560576379180516</v>
      </c>
      <c r="M44" s="8">
        <v>0.6484830075375</v>
      </c>
      <c r="N44" s="9">
        <v>-0.6153617510774058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I45" s="6" t="s">
        <v>2</v>
      </c>
      <c r="J45" s="11">
        <v>0.8287031585550959</v>
      </c>
      <c r="K45" s="10">
        <v>-0.5813004796044884</v>
      </c>
      <c r="L45" s="10">
        <v>0.30989795018561683</v>
      </c>
      <c r="M45" s="10">
        <v>0.18504368281388203</v>
      </c>
      <c r="N45" s="12">
        <v>0.5926404808432721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I46" s="1"/>
      <c r="J46" s="11">
        <v>0.8474363202816402</v>
      </c>
      <c r="K46" s="10">
        <v>0.028253217432117755</v>
      </c>
      <c r="L46" s="10">
        <v>-0.5292973525455772</v>
      </c>
      <c r="M46" s="10">
        <v>0.3329222659064594</v>
      </c>
      <c r="N46" s="12">
        <v>0.40900880798366646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I47" s="1"/>
      <c r="J47" s="11">
        <v>0.4079979777424646</v>
      </c>
      <c r="K47" s="10">
        <v>-0.4338066277135132</v>
      </c>
      <c r="L47" s="10">
        <v>-0.390173608911219</v>
      </c>
      <c r="M47" s="10">
        <v>-1.1718958664913244</v>
      </c>
      <c r="N47" s="12">
        <v>0.2876326565106208</v>
      </c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I48" s="1"/>
      <c r="J48" s="13">
        <v>-2.3412513971915225</v>
      </c>
      <c r="K48" s="14">
        <v>-0.29134146473670164</v>
      </c>
      <c r="L48" s="14">
        <v>-0.25323995067290805</v>
      </c>
      <c r="M48" s="14">
        <v>0.25340974314570663</v>
      </c>
      <c r="N48" s="15">
        <v>-1.1204127185943555</v>
      </c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I49" s="2"/>
      <c r="J49" s="1"/>
      <c r="K49" s="8"/>
      <c r="L49" s="16" t="s">
        <v>3</v>
      </c>
      <c r="M49" s="17"/>
      <c r="N49" s="8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B50" s="1"/>
      <c r="C50" s="2"/>
      <c r="D50" s="2"/>
      <c r="E50" s="2"/>
      <c r="F50" s="2"/>
      <c r="G50" s="2"/>
      <c r="H50" s="2"/>
      <c r="I50" s="2"/>
      <c r="J50" s="2"/>
      <c r="K50" s="2"/>
      <c r="L50" s="17" t="s">
        <v>3</v>
      </c>
      <c r="M50" s="17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B51" s="6" t="s">
        <v>14</v>
      </c>
      <c r="C51" s="7">
        <f t="shared" ref="C51:G51" si="16">NORMINV(rand(),0, 1)</f>
        <v>0.8649891259</v>
      </c>
      <c r="D51" s="8">
        <f t="shared" si="16"/>
        <v>0.6084154714</v>
      </c>
      <c r="E51" s="8">
        <f t="shared" si="16"/>
        <v>-0.1414496959</v>
      </c>
      <c r="F51" s="8">
        <f t="shared" si="16"/>
        <v>-1.10467414</v>
      </c>
      <c r="G51" s="8">
        <f t="shared" si="16"/>
        <v>-0.02729966471</v>
      </c>
      <c r="H51" s="11"/>
      <c r="I51" s="6" t="s">
        <v>15</v>
      </c>
      <c r="J51" s="7"/>
      <c r="K51" s="8"/>
      <c r="L51" s="8"/>
      <c r="M51" s="8"/>
      <c r="N51" s="9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B52" s="1"/>
      <c r="C52" s="11">
        <f t="shared" ref="C52:G52" si="17">NORMINV(rand(),0, 1)</f>
        <v>0.1906197382</v>
      </c>
      <c r="D52" s="10">
        <f t="shared" si="17"/>
        <v>-1.935452678</v>
      </c>
      <c r="E52" s="10">
        <f t="shared" si="17"/>
        <v>0.5979906136</v>
      </c>
      <c r="F52" s="10">
        <f t="shared" si="17"/>
        <v>1.062010767</v>
      </c>
      <c r="G52" s="10">
        <f t="shared" si="17"/>
        <v>0.06923636693</v>
      </c>
      <c r="H52" s="11"/>
      <c r="I52" s="6" t="s">
        <v>16</v>
      </c>
      <c r="J52" s="11"/>
      <c r="K52" s="10"/>
      <c r="L52" s="10"/>
      <c r="M52" s="10"/>
      <c r="N52" s="1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B53" s="1"/>
      <c r="C53" s="11">
        <f t="shared" ref="C53:G53" si="18">NORMINV(rand(),0, 1)</f>
        <v>-1.807365546</v>
      </c>
      <c r="D53" s="10">
        <f t="shared" si="18"/>
        <v>-2.363794416</v>
      </c>
      <c r="E53" s="10">
        <f t="shared" si="18"/>
        <v>0.3875837273</v>
      </c>
      <c r="F53" s="10">
        <f t="shared" si="18"/>
        <v>-0.7958256593</v>
      </c>
      <c r="G53" s="10">
        <f t="shared" si="18"/>
        <v>0.2891399867</v>
      </c>
      <c r="H53" s="19" t="s">
        <v>7</v>
      </c>
      <c r="I53" s="17" t="s">
        <v>7</v>
      </c>
      <c r="J53" s="11"/>
      <c r="K53" s="10"/>
      <c r="L53" s="10"/>
      <c r="M53" s="10"/>
      <c r="N53" s="1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B54" s="1"/>
      <c r="C54" s="11">
        <f t="shared" ref="C54:G54" si="19">NORMINV(rand(),0, 1)</f>
        <v>0.3427735398</v>
      </c>
      <c r="D54" s="10">
        <f t="shared" si="19"/>
        <v>-0.5933489442</v>
      </c>
      <c r="E54" s="10">
        <f t="shared" si="19"/>
        <v>-0.4781876871</v>
      </c>
      <c r="F54" s="10">
        <f t="shared" si="19"/>
        <v>1.052670277</v>
      </c>
      <c r="G54" s="10">
        <f t="shared" si="19"/>
        <v>0.3580670963</v>
      </c>
      <c r="H54" s="11"/>
      <c r="I54" s="2"/>
      <c r="J54" s="11"/>
      <c r="K54" s="10"/>
      <c r="L54" s="10"/>
      <c r="M54" s="10"/>
      <c r="N54" s="1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B55" s="1"/>
      <c r="C55" s="13">
        <f t="shared" ref="C55:G55" si="20">NORMINV(rand(),0, 1)</f>
        <v>0.2590818471</v>
      </c>
      <c r="D55" s="14">
        <f t="shared" si="20"/>
        <v>0.2913299871</v>
      </c>
      <c r="E55" s="14">
        <f t="shared" si="20"/>
        <v>-0.7693673809</v>
      </c>
      <c r="F55" s="14">
        <f t="shared" si="20"/>
        <v>1.174770307</v>
      </c>
      <c r="G55" s="14">
        <f t="shared" si="20"/>
        <v>-0.4628790173</v>
      </c>
      <c r="H55" s="11"/>
      <c r="I55" s="2"/>
      <c r="J55" s="13"/>
      <c r="K55" s="14"/>
      <c r="L55" s="14"/>
      <c r="M55" s="14"/>
      <c r="N55" s="15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4" t="s">
        <v>17</v>
      </c>
      <c r="AA57" s="4"/>
      <c r="AB57" s="4"/>
      <c r="AC57" s="4"/>
      <c r="AD57" s="4"/>
      <c r="AE57" s="4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I65" s="6" t="s">
        <v>4</v>
      </c>
      <c r="J65" s="7">
        <f t="array" ref="J65:N69">$C$21:$G$25</f>
        <v>0.3917166805</v>
      </c>
      <c r="K65" s="8">
        <v>-1.150625766578016</v>
      </c>
      <c r="L65" s="8">
        <v>-1.1937426218120877</v>
      </c>
      <c r="M65" s="8">
        <v>-0.12233600937092895</v>
      </c>
      <c r="N65" s="9">
        <v>-1.7212039247354565</v>
      </c>
      <c r="O65" s="3"/>
      <c r="P65" s="6" t="s">
        <v>10</v>
      </c>
      <c r="Q65" s="7">
        <f t="array" ref="Q65:U69">$C$36:$G$40</f>
        <v>0.5574790455</v>
      </c>
      <c r="R65" s="8">
        <v>1.0600477647492752</v>
      </c>
      <c r="S65" s="8">
        <v>-0.1689002895155466</v>
      </c>
      <c r="T65" s="8">
        <v>1.1026080481396698</v>
      </c>
      <c r="U65" s="9">
        <v>-1.0486994904789204</v>
      </c>
      <c r="V65" s="2"/>
      <c r="W65" s="6" t="s">
        <v>14</v>
      </c>
      <c r="X65" s="7">
        <f t="array" ref="X65:AB69">$C$51:$G$55</f>
        <v>0.8649891259</v>
      </c>
      <c r="Y65" s="8">
        <v>0.6084154713564791</v>
      </c>
      <c r="Z65" s="8">
        <v>-0.14144969586612424</v>
      </c>
      <c r="AA65" s="8">
        <v>-1.1046741402509015</v>
      </c>
      <c r="AB65" s="9">
        <v>-0.0272996647132129</v>
      </c>
      <c r="AC65" s="2"/>
      <c r="AD65" s="2"/>
      <c r="AE65" s="2"/>
    </row>
    <row r="66">
      <c r="I66" s="1"/>
      <c r="J66" s="11">
        <v>-0.991282059442217</v>
      </c>
      <c r="K66" s="10">
        <v>0.3641122714277865</v>
      </c>
      <c r="L66" s="10">
        <v>-1.0492779849136413</v>
      </c>
      <c r="M66" s="10">
        <v>-1.3024459049991262</v>
      </c>
      <c r="N66" s="12">
        <v>1.1148670249705308</v>
      </c>
      <c r="O66" s="3"/>
      <c r="P66" s="2"/>
      <c r="Q66" s="11">
        <v>0.36861371977300533</v>
      </c>
      <c r="R66" s="10">
        <v>-0.823047112859939</v>
      </c>
      <c r="S66" s="10">
        <v>-1.1569346658238164</v>
      </c>
      <c r="T66" s="10">
        <v>0.7892991900195114</v>
      </c>
      <c r="U66" s="12">
        <v>0.13202477409525418</v>
      </c>
      <c r="V66" s="2"/>
      <c r="W66" s="2"/>
      <c r="X66" s="11">
        <v>0.19061973817189726</v>
      </c>
      <c r="Y66" s="10">
        <v>-1.935452677960356</v>
      </c>
      <c r="Z66" s="10">
        <v>0.5979906136291926</v>
      </c>
      <c r="AA66" s="10">
        <v>1.0620107665100718</v>
      </c>
      <c r="AB66" s="12">
        <v>0.0692363669256579</v>
      </c>
      <c r="AC66" s="2"/>
      <c r="AD66" s="2"/>
      <c r="AE66" s="2"/>
    </row>
    <row r="67">
      <c r="I67" s="1"/>
      <c r="J67" s="11">
        <v>1.6795853612624163</v>
      </c>
      <c r="K67" s="10">
        <v>-0.4127089744117001</v>
      </c>
      <c r="L67" s="10">
        <v>-1.0831141070463501</v>
      </c>
      <c r="M67" s="10">
        <v>2.5959037123472877</v>
      </c>
      <c r="N67" s="12">
        <v>-0.24974489582261675</v>
      </c>
      <c r="O67" s="3"/>
      <c r="P67" s="2"/>
      <c r="Q67" s="11">
        <v>0.5007293638525051</v>
      </c>
      <c r="R67" s="10">
        <v>0.8935693026485871</v>
      </c>
      <c r="S67" s="10">
        <v>-1.1333264737924036</v>
      </c>
      <c r="T67" s="10">
        <v>0.16396498403161142</v>
      </c>
      <c r="U67" s="12">
        <v>-0.567355511626876</v>
      </c>
      <c r="V67" s="2"/>
      <c r="W67" s="2"/>
      <c r="X67" s="11">
        <v>-1.8073655463362142</v>
      </c>
      <c r="Y67" s="10">
        <v>-2.3637944155319563</v>
      </c>
      <c r="Z67" s="10">
        <v>0.3875837273417469</v>
      </c>
      <c r="AA67" s="10">
        <v>-0.7958256593261606</v>
      </c>
      <c r="AB67" s="12">
        <v>0.2891399866709736</v>
      </c>
      <c r="AC67" s="2"/>
      <c r="AD67" s="2"/>
      <c r="AE67" s="2"/>
    </row>
    <row r="68">
      <c r="I68" s="1"/>
      <c r="J68" s="11">
        <v>-0.7767467784700064</v>
      </c>
      <c r="K68" s="10">
        <v>0.5546810987546725</v>
      </c>
      <c r="L68" s="10">
        <v>0.5732810752958135</v>
      </c>
      <c r="M68" s="10">
        <v>-0.2004186610994508</v>
      </c>
      <c r="N68" s="12">
        <v>1.0899655504040369</v>
      </c>
      <c r="O68" s="3"/>
      <c r="P68" s="2"/>
      <c r="Q68" s="11">
        <v>-1.5490160552602832</v>
      </c>
      <c r="R68" s="10">
        <v>0.3866865215722539</v>
      </c>
      <c r="S68" s="10">
        <v>-0.9297244402032467</v>
      </c>
      <c r="T68" s="10">
        <v>-0.20672472467479253</v>
      </c>
      <c r="U68" s="12">
        <v>-0.6216222098481106</v>
      </c>
      <c r="V68" s="2"/>
      <c r="W68" s="2"/>
      <c r="X68" s="11">
        <v>0.3427735398177843</v>
      </c>
      <c r="Y68" s="10">
        <v>-0.5933489441510174</v>
      </c>
      <c r="Z68" s="10">
        <v>-0.47818768706641773</v>
      </c>
      <c r="AA68" s="10">
        <v>1.0526702774343972</v>
      </c>
      <c r="AB68" s="12">
        <v>0.35806709633725803</v>
      </c>
      <c r="AC68" s="2"/>
      <c r="AD68" s="2"/>
      <c r="AE68" s="2"/>
    </row>
    <row r="69">
      <c r="I69" s="1"/>
      <c r="J69" s="13">
        <v>-1.3499188588885502</v>
      </c>
      <c r="K69" s="14">
        <v>1.6128607742530172</v>
      </c>
      <c r="L69" s="14">
        <v>-0.5725014232290118</v>
      </c>
      <c r="M69" s="14">
        <v>-1.9981827418865012</v>
      </c>
      <c r="N69" s="15">
        <v>-0.11364800668093636</v>
      </c>
      <c r="O69" s="3"/>
      <c r="P69" s="2"/>
      <c r="Q69" s="13">
        <v>0.6758094817839844</v>
      </c>
      <c r="R69" s="14">
        <v>-1.1383337968991176</v>
      </c>
      <c r="S69" s="14">
        <v>-0.1636308404430194</v>
      </c>
      <c r="T69" s="14">
        <v>-2.3937656425313225</v>
      </c>
      <c r="U69" s="15">
        <v>-0.7920481323302475</v>
      </c>
      <c r="V69" s="2"/>
      <c r="W69" s="2"/>
      <c r="X69" s="13">
        <v>0.259081847122278</v>
      </c>
      <c r="Y69" s="14">
        <v>0.29132998712961317</v>
      </c>
      <c r="Z69" s="14">
        <v>-0.7693673808610827</v>
      </c>
      <c r="AA69" s="14">
        <v>1.1747703070089122</v>
      </c>
      <c r="AB69" s="15">
        <v>-0.46287901732310205</v>
      </c>
      <c r="AC69" s="2"/>
      <c r="AD69" s="2"/>
      <c r="AE69" s="2"/>
    </row>
    <row r="70">
      <c r="I70" s="1"/>
      <c r="J70" s="2"/>
      <c r="K70" s="2"/>
      <c r="L70" s="21" t="s">
        <v>3</v>
      </c>
      <c r="M70" s="2"/>
      <c r="N70" s="2"/>
      <c r="O70" s="3"/>
      <c r="P70" s="2"/>
      <c r="Q70" s="2"/>
      <c r="R70" s="2"/>
      <c r="S70" s="21" t="s">
        <v>3</v>
      </c>
      <c r="T70" s="2"/>
      <c r="U70" s="2"/>
      <c r="V70" s="2"/>
      <c r="W70" s="2"/>
      <c r="X70" s="2"/>
      <c r="Y70" s="2"/>
      <c r="Z70" s="21" t="s">
        <v>3</v>
      </c>
      <c r="AA70" s="2"/>
      <c r="AB70" s="2"/>
      <c r="AC70" s="2"/>
      <c r="AD70" s="2"/>
      <c r="AE70" s="2"/>
    </row>
    <row r="71">
      <c r="I71" s="1"/>
      <c r="J71" s="2"/>
      <c r="K71" s="2"/>
      <c r="L71" s="21" t="s">
        <v>3</v>
      </c>
      <c r="M71" s="2"/>
      <c r="N71" s="2"/>
      <c r="O71" s="3"/>
      <c r="P71" s="2"/>
      <c r="Q71" s="2"/>
      <c r="R71" s="2"/>
      <c r="S71" s="21" t="s">
        <v>3</v>
      </c>
      <c r="T71" s="2"/>
      <c r="U71" s="2"/>
      <c r="V71" s="2"/>
      <c r="W71" s="2"/>
      <c r="X71" s="2"/>
      <c r="Y71" s="2"/>
      <c r="Z71" s="21" t="s">
        <v>3</v>
      </c>
      <c r="AA71" s="2"/>
      <c r="AB71" s="2"/>
      <c r="AC71" s="2"/>
      <c r="AD71" s="2"/>
      <c r="AE71" s="2"/>
    </row>
    <row r="72">
      <c r="B72" s="6" t="s">
        <v>1</v>
      </c>
      <c r="C72" s="7">
        <f t="array" ref="C72:G76">$J$14:$N$18</f>
        <v>0.6765098384</v>
      </c>
      <c r="D72" s="8">
        <v>0.3900435706539263</v>
      </c>
      <c r="E72" s="8">
        <v>0.6560576379180516</v>
      </c>
      <c r="F72" s="8">
        <v>0.6484830075375</v>
      </c>
      <c r="G72" s="9">
        <v>-0.6153617510774058</v>
      </c>
      <c r="I72" s="6" t="s">
        <v>5</v>
      </c>
      <c r="J72" s="7">
        <f t="array" ref="J72:N76">MMULT(J65:N69,C72:G76)</f>
        <v>2.279710376</v>
      </c>
      <c r="K72" s="8">
        <v>1.3424470570582077</v>
      </c>
      <c r="L72" s="8">
        <v>1.0158668422520698</v>
      </c>
      <c r="M72" s="8">
        <v>-0.6491226976578691</v>
      </c>
      <c r="N72" s="9">
        <v>0.4820648204206155</v>
      </c>
      <c r="O72" s="3"/>
      <c r="P72" s="6" t="s">
        <v>11</v>
      </c>
      <c r="Q72" s="7">
        <f t="array" ref="Q72:U76">MMULT(Q65:U69,C72:G76)</f>
        <v>4.017603751</v>
      </c>
      <c r="R72" s="8">
        <v>-0.5763261666069246</v>
      </c>
      <c r="S72" s="8">
        <v>0.619007537152171</v>
      </c>
      <c r="T72" s="8">
        <v>-1.056452319168487</v>
      </c>
      <c r="U72" s="9">
        <v>1.7082165583893854</v>
      </c>
      <c r="V72" s="2"/>
      <c r="W72" s="6" t="s">
        <v>15</v>
      </c>
      <c r="X72" s="7">
        <f t="array" ref="X72:AB76">MMULT(X65:AB69,C72:G76)</f>
        <v>0.5827104297</v>
      </c>
      <c r="Y72" s="8">
        <v>0.4668833207258894</v>
      </c>
      <c r="Z72" s="8">
        <v>1.2688264414310946</v>
      </c>
      <c r="AA72" s="8">
        <v>1.9140674938247968</v>
      </c>
      <c r="AB72" s="9">
        <v>-0.5167172231333144</v>
      </c>
      <c r="AC72" s="10"/>
      <c r="AD72" s="10"/>
      <c r="AE72" s="10"/>
    </row>
    <row r="73">
      <c r="B73" s="6" t="s">
        <v>2</v>
      </c>
      <c r="C73" s="11">
        <v>0.8287031585550959</v>
      </c>
      <c r="D73" s="10">
        <v>-0.5813004796044884</v>
      </c>
      <c r="E73" s="10">
        <v>0.30989795018561683</v>
      </c>
      <c r="F73" s="10">
        <v>0.18504368281388203</v>
      </c>
      <c r="G73" s="12">
        <v>0.5926404808432721</v>
      </c>
      <c r="I73" s="1"/>
      <c r="J73" s="11">
        <v>-4.399646626215902</v>
      </c>
      <c r="K73" s="10">
        <v>-0.3877446372699891</v>
      </c>
      <c r="L73" s="10">
        <v>0.24373068837860473</v>
      </c>
      <c r="M73" s="10">
        <v>0.8840682389708849</v>
      </c>
      <c r="N73" s="12">
        <v>-1.2271163722578649</v>
      </c>
      <c r="O73" s="3"/>
      <c r="P73" s="1"/>
      <c r="Q73" s="11">
        <v>-1.4001901035233126</v>
      </c>
      <c r="R73" s="10">
        <v>0.20865845528077082</v>
      </c>
      <c r="S73" s="10">
        <v>0.2577360280456287</v>
      </c>
      <c r="T73" s="10">
        <v>-1.1899493398432173</v>
      </c>
      <c r="U73" s="12">
        <v>-1.1086923026351105</v>
      </c>
      <c r="V73" s="2"/>
      <c r="W73" s="1"/>
      <c r="X73" s="11">
        <v>-0.6970021497341776</v>
      </c>
      <c r="Y73" s="10">
        <v>0.7354459983247145</v>
      </c>
      <c r="Z73" s="10">
        <v>-1.223152118673431</v>
      </c>
      <c r="AA73" s="10">
        <v>-1.2624660977392905</v>
      </c>
      <c r="AB73" s="12">
        <v>-0.7918486015999021</v>
      </c>
      <c r="AC73" s="10"/>
      <c r="AD73" s="10"/>
      <c r="AE73" s="10"/>
    </row>
    <row r="74">
      <c r="B74" s="1"/>
      <c r="C74" s="11">
        <v>0.8474363202816402</v>
      </c>
      <c r="D74" s="10">
        <v>0.028253217432117755</v>
      </c>
      <c r="E74" s="10">
        <v>-0.5292973525455772</v>
      </c>
      <c r="F74" s="10">
        <v>0.3329222659064594</v>
      </c>
      <c r="G74" s="12">
        <v>0.40900880798366646</v>
      </c>
      <c r="H74" s="21"/>
      <c r="I74" s="21"/>
      <c r="J74" s="11">
        <v>1.5202116087416417</v>
      </c>
      <c r="K74" s="10">
        <v>-0.18894125364560976</v>
      </c>
      <c r="L74" s="10">
        <v>0.5976888342289222</v>
      </c>
      <c r="M74" s="10">
        <v>-2.4531960450328243</v>
      </c>
      <c r="N74" s="12">
        <v>-0.6946598053555073</v>
      </c>
      <c r="O74" s="3"/>
      <c r="P74" s="1"/>
      <c r="Q74" s="11">
        <v>1.5140492941094021</v>
      </c>
      <c r="R74" s="10">
        <v>-0.26198102546884244</v>
      </c>
      <c r="S74" s="10">
        <v>1.2849915932967135</v>
      </c>
      <c r="T74" s="10">
        <v>-0.22316908073143513</v>
      </c>
      <c r="U74" s="12">
        <v>0.4407291480532236</v>
      </c>
      <c r="V74" s="2"/>
      <c r="W74" s="1"/>
      <c r="X74" s="11">
        <v>-3.8547766017871266</v>
      </c>
      <c r="Y74" s="10">
        <v>0.9410699818765061</v>
      </c>
      <c r="Z74" s="10">
        <v>-1.886129682387785</v>
      </c>
      <c r="AA74" s="10">
        <v>-0.4745201261700951</v>
      </c>
      <c r="AB74" s="12">
        <v>-0.683033040322822</v>
      </c>
      <c r="AC74" s="10"/>
      <c r="AD74" s="10"/>
      <c r="AE74" s="10"/>
    </row>
    <row r="75">
      <c r="B75" s="1"/>
      <c r="C75" s="11">
        <v>0.4079979777424646</v>
      </c>
      <c r="D75" s="10">
        <v>-0.4338066277135132</v>
      </c>
      <c r="E75" s="10">
        <v>-0.390173608911219</v>
      </c>
      <c r="F75" s="10">
        <v>-1.1718958664913244</v>
      </c>
      <c r="G75" s="12">
        <v>0.2876326565106208</v>
      </c>
      <c r="I75" s="1"/>
      <c r="J75" s="11">
        <v>-2.2136454303465056</v>
      </c>
      <c r="K75" s="10">
        <v>-0.8398136572968076</v>
      </c>
      <c r="L75" s="10">
        <v>-0.8389570265764256</v>
      </c>
      <c r="M75" s="10">
        <v>0.3008688715680228</v>
      </c>
      <c r="N75" s="12">
        <v>-0.23767447733870084</v>
      </c>
      <c r="O75" s="3"/>
      <c r="P75" s="1"/>
      <c r="Q75" s="11">
        <v>-0.1443279202438965</v>
      </c>
      <c r="R75" s="10">
        <v>-0.5844496395953492</v>
      </c>
      <c r="S75" s="10">
        <v>-0.16623165947839305</v>
      </c>
      <c r="T75" s="10">
        <v>-1.1577479336772525</v>
      </c>
      <c r="U75" s="12">
        <v>1.4391184816012799</v>
      </c>
      <c r="V75" s="2"/>
      <c r="W75" s="1"/>
      <c r="X75" s="11">
        <v>-1.0738918311984607</v>
      </c>
      <c r="Y75" s="10">
        <v>-0.09587483496101011</v>
      </c>
      <c r="Z75" s="10">
        <v>-0.2072960008335793</v>
      </c>
      <c r="AA75" s="10">
        <v>-1.189594242112734</v>
      </c>
      <c r="AB75" s="12">
        <v>-0.8565558856524678</v>
      </c>
      <c r="AC75" s="10"/>
      <c r="AD75" s="10"/>
      <c r="AE75" s="10"/>
    </row>
    <row r="76">
      <c r="B76" s="1"/>
      <c r="C76" s="13">
        <v>-2.3412513971915225</v>
      </c>
      <c r="D76" s="14">
        <v>-0.29134146473670164</v>
      </c>
      <c r="E76" s="14">
        <v>-0.25323995067290805</v>
      </c>
      <c r="F76" s="14">
        <v>0.25340974314570663</v>
      </c>
      <c r="G76" s="15">
        <v>-1.1204127185943555</v>
      </c>
      <c r="I76" s="1"/>
      <c r="J76" s="13">
        <v>-0.6109850340691301</v>
      </c>
      <c r="K76" s="14">
        <v>-0.5803236270692403</v>
      </c>
      <c r="L76" s="14">
        <v>0.7256395448479596</v>
      </c>
      <c r="M76" s="14">
        <v>1.545314368463169</v>
      </c>
      <c r="N76" s="15">
        <v>1.1049669548065084</v>
      </c>
      <c r="O76" s="3"/>
      <c r="P76" s="1"/>
      <c r="Q76" s="13">
        <v>0.2529164881626229</v>
      </c>
      <c r="R76" s="14">
        <v>2.189873891668671</v>
      </c>
      <c r="S76" s="14">
        <v>1.3117744422530841</v>
      </c>
      <c r="T76" s="14">
        <v>2.777664485106008</v>
      </c>
      <c r="U76" s="15">
        <v>-0.9585208194821354</v>
      </c>
      <c r="V76" s="2"/>
      <c r="W76" s="1"/>
      <c r="X76" s="13">
        <v>1.3277276924821497</v>
      </c>
      <c r="Y76" s="14">
        <v>-0.4648014507137799</v>
      </c>
      <c r="Z76" s="14">
        <v>0.3263343975012711</v>
      </c>
      <c r="AA76" s="14">
        <v>-1.5282271023458522</v>
      </c>
      <c r="AB76" s="15">
        <v>0.555064691565549</v>
      </c>
      <c r="AC76" s="10"/>
      <c r="AD76" s="10"/>
      <c r="AE76" s="10"/>
    </row>
    <row r="77">
      <c r="O77" s="3"/>
    </row>
    <row r="78">
      <c r="O78" s="3"/>
    </row>
    <row r="79">
      <c r="O79" s="3"/>
    </row>
    <row r="80">
      <c r="O80" s="3"/>
    </row>
    <row r="81">
      <c r="O81" s="3"/>
    </row>
    <row r="82">
      <c r="O82" s="3"/>
    </row>
    <row r="83">
      <c r="A83" s="4" t="s">
        <v>18</v>
      </c>
      <c r="AA83" s="4"/>
      <c r="AB83" s="4"/>
      <c r="AC83" s="4"/>
      <c r="AD83" s="4"/>
      <c r="AE83" s="4"/>
    </row>
    <row r="84"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H85" s="2"/>
      <c r="I85" s="6" t="s">
        <v>11</v>
      </c>
      <c r="J85" s="7">
        <f t="array" ref="J85:N89">Q72:U76</f>
        <v>4.017603751</v>
      </c>
      <c r="K85" s="8">
        <v>-0.5763261666069246</v>
      </c>
      <c r="L85" s="8">
        <v>0.619007537152171</v>
      </c>
      <c r="M85" s="8">
        <v>-1.056452319168487</v>
      </c>
      <c r="N85" s="9">
        <v>1.7082165583893854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H86" s="2"/>
      <c r="I86" s="1"/>
      <c r="J86" s="11">
        <v>-1.4001901035233126</v>
      </c>
      <c r="K86" s="10">
        <v>0.20865845528077082</v>
      </c>
      <c r="L86" s="10">
        <v>0.2577360280456287</v>
      </c>
      <c r="M86" s="10">
        <v>-1.1899493398432173</v>
      </c>
      <c r="N86" s="12">
        <v>-1.1086923026351105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H87" s="2"/>
      <c r="I87" s="1"/>
      <c r="J87" s="11">
        <v>1.5140492941094021</v>
      </c>
      <c r="K87" s="10">
        <v>-0.26198102546884244</v>
      </c>
      <c r="L87" s="10">
        <v>1.2849915932967135</v>
      </c>
      <c r="M87" s="10">
        <v>-0.22316908073143513</v>
      </c>
      <c r="N87" s="12">
        <v>0.4407291480532236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H88" s="2"/>
      <c r="I88" s="1"/>
      <c r="J88" s="11">
        <v>-0.1443279202438965</v>
      </c>
      <c r="K88" s="10">
        <v>-0.5844496395953492</v>
      </c>
      <c r="L88" s="10">
        <v>-0.16623165947839305</v>
      </c>
      <c r="M88" s="10">
        <v>-1.1577479336772525</v>
      </c>
      <c r="N88" s="12">
        <v>1.4391184816012799</v>
      </c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H89" s="2"/>
      <c r="I89" s="1"/>
      <c r="J89" s="13">
        <v>0.2529164881626229</v>
      </c>
      <c r="K89" s="14">
        <v>2.189873891668671</v>
      </c>
      <c r="L89" s="14">
        <v>1.3117744422530841</v>
      </c>
      <c r="M89" s="14">
        <v>2.777664485106008</v>
      </c>
      <c r="N89" s="15">
        <v>-0.9585208194821354</v>
      </c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1" t="s">
        <v>3</v>
      </c>
      <c r="M90" s="2"/>
      <c r="N90" s="2"/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B91" s="1"/>
      <c r="C91" s="2"/>
      <c r="D91" s="2"/>
      <c r="E91" s="2"/>
      <c r="F91" s="2"/>
      <c r="G91" s="2"/>
      <c r="H91" s="2"/>
      <c r="I91" s="2"/>
      <c r="J91" s="2"/>
      <c r="K91" s="2"/>
      <c r="L91" s="21" t="s">
        <v>3</v>
      </c>
      <c r="M91" s="2"/>
      <c r="N91" s="2"/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B92" s="1"/>
      <c r="C92" s="2"/>
      <c r="D92" s="2"/>
      <c r="E92" s="2"/>
      <c r="F92" s="2"/>
      <c r="G92" s="2"/>
      <c r="H92" s="2"/>
      <c r="I92" s="6" t="s">
        <v>19</v>
      </c>
      <c r="J92" s="22"/>
      <c r="K92" s="23"/>
      <c r="L92" s="23"/>
      <c r="M92" s="23"/>
      <c r="N92" s="24"/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B93" s="1"/>
      <c r="C93" s="2"/>
      <c r="D93" s="2"/>
      <c r="E93" s="2"/>
      <c r="F93" s="2"/>
      <c r="G93" s="2"/>
      <c r="H93" s="2"/>
      <c r="I93" s="2"/>
      <c r="J93" s="26"/>
      <c r="K93" s="2"/>
      <c r="L93" s="2"/>
      <c r="M93" s="2"/>
      <c r="N93" s="27"/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B94" s="1"/>
      <c r="C94" s="2"/>
      <c r="D94" s="2"/>
      <c r="E94" s="2"/>
      <c r="F94" s="2"/>
      <c r="G94" s="2"/>
      <c r="H94" s="2"/>
      <c r="I94" s="2"/>
      <c r="J94" s="26"/>
      <c r="K94" s="2"/>
      <c r="L94" s="2"/>
      <c r="M94" s="2"/>
      <c r="N94" s="27"/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B95" s="1"/>
      <c r="C95" s="2"/>
      <c r="D95" s="2"/>
      <c r="E95" s="2"/>
      <c r="F95" s="2"/>
      <c r="G95" s="2"/>
      <c r="H95" s="2"/>
      <c r="I95" s="2"/>
      <c r="J95" s="26"/>
      <c r="K95" s="2"/>
      <c r="L95" s="2"/>
      <c r="M95" s="2"/>
      <c r="N95" s="27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B96" s="1"/>
      <c r="C96" s="2"/>
      <c r="D96" s="2"/>
      <c r="E96" s="2"/>
      <c r="F96" s="2"/>
      <c r="G96" s="2"/>
      <c r="H96" s="2"/>
      <c r="I96" s="2"/>
      <c r="J96" s="28"/>
      <c r="K96" s="29"/>
      <c r="L96" s="29"/>
      <c r="M96" s="29"/>
      <c r="N96" s="30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1" t="s">
        <v>3</v>
      </c>
      <c r="M97" s="2"/>
      <c r="N97" s="2"/>
      <c r="O97" s="3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1" t="s">
        <v>3</v>
      </c>
      <c r="M98" s="2"/>
      <c r="N98" s="2"/>
      <c r="O98" s="3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B99" s="6" t="s">
        <v>5</v>
      </c>
      <c r="C99" s="7">
        <f t="array" ref="C99:G103">J72:N76</f>
        <v>2.279710376</v>
      </c>
      <c r="D99" s="8">
        <v>1.3424470570582077</v>
      </c>
      <c r="E99" s="8">
        <v>1.0158668422520698</v>
      </c>
      <c r="F99" s="8">
        <v>-0.6491226976578691</v>
      </c>
      <c r="G99" s="9">
        <v>0.4820648204206155</v>
      </c>
      <c r="H99" s="2"/>
      <c r="I99" s="6" t="s">
        <v>20</v>
      </c>
      <c r="J99" s="7"/>
      <c r="K99" s="8"/>
      <c r="L99" s="8"/>
      <c r="M99" s="8"/>
      <c r="N99" s="9"/>
      <c r="O99" s="3"/>
      <c r="P99" s="2"/>
      <c r="Q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B100" s="1"/>
      <c r="C100" s="11">
        <v>-4.399646626215902</v>
      </c>
      <c r="D100" s="10">
        <v>-0.3877446372699891</v>
      </c>
      <c r="E100" s="10">
        <v>0.24373068837860473</v>
      </c>
      <c r="F100" s="10">
        <v>0.8840682389708849</v>
      </c>
      <c r="G100" s="12">
        <v>-1.2271163722578649</v>
      </c>
      <c r="H100" s="2"/>
      <c r="I100" s="2"/>
      <c r="J100" s="11"/>
      <c r="K100" s="10"/>
      <c r="L100" s="10"/>
      <c r="M100" s="10"/>
      <c r="N100" s="12"/>
      <c r="O100" s="3"/>
      <c r="P100" s="2"/>
      <c r="Q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B101" s="1"/>
      <c r="C101" s="11">
        <v>1.5202116087416417</v>
      </c>
      <c r="D101" s="10">
        <v>-0.18894125364560976</v>
      </c>
      <c r="E101" s="10">
        <v>0.5976888342289222</v>
      </c>
      <c r="F101" s="10">
        <v>-2.4531960450328243</v>
      </c>
      <c r="G101" s="12">
        <v>-0.6946598053555073</v>
      </c>
      <c r="H101" s="19" t="s">
        <v>7</v>
      </c>
      <c r="I101" s="17" t="s">
        <v>7</v>
      </c>
      <c r="J101" s="11"/>
      <c r="K101" s="10"/>
      <c r="L101" s="10"/>
      <c r="M101" s="10"/>
      <c r="N101" s="12"/>
      <c r="O101" s="3"/>
      <c r="P101" s="2"/>
      <c r="Q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B102" s="1"/>
      <c r="C102" s="11">
        <v>-2.2136454303465056</v>
      </c>
      <c r="D102" s="10">
        <v>-0.8398136572968076</v>
      </c>
      <c r="E102" s="10">
        <v>-0.8389570265764256</v>
      </c>
      <c r="F102" s="10">
        <v>0.3008688715680228</v>
      </c>
      <c r="G102" s="12">
        <v>-0.23767447733870084</v>
      </c>
      <c r="H102" s="2"/>
      <c r="I102" s="2"/>
      <c r="J102" s="11"/>
      <c r="K102" s="10"/>
      <c r="L102" s="10"/>
      <c r="M102" s="10"/>
      <c r="N102" s="12"/>
      <c r="O102" s="3"/>
      <c r="P102" s="2"/>
      <c r="Q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B103" s="1"/>
      <c r="C103" s="13">
        <v>-0.6109850340691301</v>
      </c>
      <c r="D103" s="14">
        <v>-0.5803236270692403</v>
      </c>
      <c r="E103" s="14">
        <v>0.7256395448479596</v>
      </c>
      <c r="F103" s="14">
        <v>1.545314368463169</v>
      </c>
      <c r="G103" s="15">
        <v>1.1049669548065084</v>
      </c>
      <c r="H103" s="2"/>
      <c r="I103" s="2"/>
      <c r="J103" s="13"/>
      <c r="K103" s="14"/>
      <c r="L103" s="14"/>
      <c r="M103" s="14"/>
      <c r="N103" s="15"/>
      <c r="O103" s="3"/>
      <c r="P103" s="2"/>
      <c r="Q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1" t="s">
        <v>3</v>
      </c>
      <c r="M104" s="2"/>
      <c r="N104" s="2"/>
      <c r="O104" s="3"/>
      <c r="P104" s="2"/>
      <c r="Q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1" t="s">
        <v>3</v>
      </c>
      <c r="M105" s="2"/>
      <c r="N105" s="2"/>
      <c r="O105" s="3"/>
      <c r="P105" s="2"/>
      <c r="Q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B106" s="1"/>
      <c r="C106" s="2"/>
      <c r="D106" s="6" t="s">
        <v>21</v>
      </c>
      <c r="E106" s="25">
        <f>power(5, 0.5)</f>
        <v>2.236067977</v>
      </c>
      <c r="F106" s="2"/>
      <c r="G106" s="2"/>
      <c r="H106" s="2"/>
      <c r="I106" s="6" t="s">
        <v>22</v>
      </c>
      <c r="J106" s="32" t="s">
        <v>23</v>
      </c>
      <c r="K106" s="8"/>
      <c r="L106" s="8"/>
      <c r="M106" s="8"/>
      <c r="N106" s="9"/>
      <c r="O106" s="3"/>
      <c r="P106" s="31" t="str">
        <f>IFERROR(__xludf.DUMMYFUNCTION("SPARKLINE((J106-MIN($J106:$N106))/SUMPRODUCT($J106:$N106-MIN($J106:$N106)), {""charttype"",""bar""; ""max"",1; ""color1"",""#4285F4""})"),"#VALUE!")</f>
        <v>#VALUE!</v>
      </c>
      <c r="Q106" s="31" t="str">
        <f>IFERROR(__xludf.DUMMYFUNCTION("SPARKLINE((K106-MIN($J106:$N106))/SUMPRODUCT($J106:$N106-MIN($J106:$N106)), {""charttype"",""bar""; ""max"",1; ""color1"",""#4285F4""})"),"#VALUE!")</f>
        <v>#VALUE!</v>
      </c>
      <c r="R106" s="31" t="str">
        <f>IFERROR(__xludf.DUMMYFUNCTION("SPARKLINE((L106-MIN($J106:$N106))/SUMPRODUCT($J106:$N106-MIN($J106:$N106)), {""charttype"",""bar""; ""max"",1; ""color1"",""#4285F4""})"),"#VALUE!")</f>
        <v>#VALUE!</v>
      </c>
      <c r="S106" s="31" t="str">
        <f>IFERROR(__xludf.DUMMYFUNCTION("SPARKLINE((M106-MIN($J106:$N106))/SUMPRODUCT($J106:$N106-MIN($J106:$N106)), {""charttype"",""bar""; ""max"",1; ""color1"",""#4285F4""})"),"#VALUE!")</f>
        <v>#VALUE!</v>
      </c>
      <c r="T106" s="31" t="str">
        <f>IFERROR(__xludf.DUMMYFUNCTION("SPARKLINE((N106-MIN($J106:$N106))/SUMPRODUCT($J106:$N106-MIN($J106:$N106)), {""charttype"",""bar""; ""max"",1; ""color1"",""#4285F4""})"),"#VALUE!")</f>
        <v>#VALUE!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B107" s="1"/>
      <c r="C107" s="2"/>
      <c r="D107" s="2"/>
      <c r="E107" s="2"/>
      <c r="F107" s="2"/>
      <c r="G107" s="2"/>
      <c r="H107" s="2"/>
      <c r="I107" s="6"/>
      <c r="J107" s="11"/>
      <c r="K107" s="10"/>
      <c r="L107" s="10"/>
      <c r="M107" s="10"/>
      <c r="N107" s="12"/>
      <c r="O107" s="3"/>
      <c r="P107" s="31" t="str">
        <f>IFERROR(__xludf.DUMMYFUNCTION("SPARKLINE((J107-MIN($J107:$N107))/SUMPRODUCT($J107:$N107-MIN($J107:$N107)), {""charttype"",""bar""; ""max"",1; ""color1"",""#4285F4""})"),"#DIV/0!")</f>
        <v>#DIV/0!</v>
      </c>
      <c r="Q107" s="31" t="str">
        <f>IFERROR(__xludf.DUMMYFUNCTION("SPARKLINE((K107-MIN($J107:$N107))/SUMPRODUCT($J107:$N107-MIN($J107:$N107)), {""charttype"",""bar""; ""max"",1; ""color1"",""#4285F4""})"),"#DIV/0!")</f>
        <v>#DIV/0!</v>
      </c>
      <c r="R107" s="31" t="str">
        <f>IFERROR(__xludf.DUMMYFUNCTION("SPARKLINE((L107-MIN($J107:$N107))/SUMPRODUCT($J107:$N107-MIN($J107:$N107)), {""charttype"",""bar""; ""max"",1; ""color1"",""#4285F4""})"),"#DIV/0!")</f>
        <v>#DIV/0!</v>
      </c>
      <c r="S107" s="31" t="str">
        <f>IFERROR(__xludf.DUMMYFUNCTION("SPARKLINE((M107-MIN($J107:$N107))/SUMPRODUCT($J107:$N107-MIN($J107:$N107)), {""charttype"",""bar""; ""max"",1; ""color1"",""#4285F4""})"),"#DIV/0!")</f>
        <v>#DIV/0!</v>
      </c>
      <c r="T107" s="31" t="str">
        <f>IFERROR(__xludf.DUMMYFUNCTION("SPARKLINE((N107-MIN($J107:$N107))/SUMPRODUCT($J107:$N107-MIN($J107:$N107)), {""charttype"",""bar""; ""max"",1; ""color1"",""#4285F4""})"),"#DIV/0!")</f>
        <v>#DIV/0!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B108" s="1"/>
      <c r="C108" s="2"/>
      <c r="D108" s="2"/>
      <c r="E108" s="2"/>
      <c r="F108" s="6"/>
      <c r="G108" s="25"/>
      <c r="H108" s="2"/>
      <c r="I108" s="2"/>
      <c r="J108" s="11"/>
      <c r="K108" s="10"/>
      <c r="L108" s="10"/>
      <c r="M108" s="10"/>
      <c r="N108" s="12"/>
      <c r="O108" s="3"/>
      <c r="P108" s="31" t="str">
        <f>IFERROR(__xludf.DUMMYFUNCTION("SPARKLINE((J108-MIN($J108:$N108))/SUMPRODUCT($J108:$N108-MIN($J108:$N108)), {""charttype"",""bar""; ""max"",1; ""color1"",""#4285F4""})"),"#DIV/0!")</f>
        <v>#DIV/0!</v>
      </c>
      <c r="Q108" s="31" t="str">
        <f>IFERROR(__xludf.DUMMYFUNCTION("SPARKLINE((K108-MIN($J108:$N108))/SUMPRODUCT($J108:$N108-MIN($J108:$N108)), {""charttype"",""bar""; ""max"",1; ""color1"",""#4285F4""})"),"#DIV/0!")</f>
        <v>#DIV/0!</v>
      </c>
      <c r="R108" s="31" t="str">
        <f>IFERROR(__xludf.DUMMYFUNCTION("SPARKLINE((L108-MIN($J108:$N108))/SUMPRODUCT($J108:$N108-MIN($J108:$N108)), {""charttype"",""bar""; ""max"",1; ""color1"",""#4285F4""})"),"#DIV/0!")</f>
        <v>#DIV/0!</v>
      </c>
      <c r="S108" s="31" t="str">
        <f>IFERROR(__xludf.DUMMYFUNCTION("SPARKLINE((M108-MIN($J108:$N108))/SUMPRODUCT($J108:$N108-MIN($J108:$N108)), {""charttype"",""bar""; ""max"",1; ""color1"",""#4285F4""})"),"#DIV/0!")</f>
        <v>#DIV/0!</v>
      </c>
      <c r="T108" s="31" t="str">
        <f>IFERROR(__xludf.DUMMYFUNCTION("SPARKLINE((N108-MIN($J108:$N108))/SUMPRODUCT($J108:$N108-MIN($J108:$N108)), {""charttype"",""bar""; ""max"",1; ""color1"",""#4285F4""})"),"#DIV/0!")</f>
        <v>#DIV/0!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B109" s="1"/>
      <c r="C109" s="2"/>
      <c r="D109" s="2"/>
      <c r="E109" s="2"/>
      <c r="F109" s="6" t="s">
        <v>21</v>
      </c>
      <c r="G109" s="33">
        <f>POWER(5, 0.5)</f>
        <v>2.236067977</v>
      </c>
      <c r="H109" s="17" t="s">
        <v>7</v>
      </c>
      <c r="I109" s="17" t="s">
        <v>7</v>
      </c>
      <c r="J109" s="11"/>
      <c r="K109" s="10"/>
      <c r="L109" s="10"/>
      <c r="M109" s="10"/>
      <c r="N109" s="12"/>
      <c r="O109" s="3"/>
      <c r="P109" s="31" t="str">
        <f>IFERROR(__xludf.DUMMYFUNCTION("SPARKLINE((J109-MIN($J109:$N109))/SUMPRODUCT($J109:$N109-MIN($J109:$N109)), {""charttype"",""bar""; ""max"",1; ""color1"",""#4285F4""})"),"#DIV/0!")</f>
        <v>#DIV/0!</v>
      </c>
      <c r="Q109" s="31" t="str">
        <f>IFERROR(__xludf.DUMMYFUNCTION("SPARKLINE((K109-MIN($J109:$N109))/SUMPRODUCT($J109:$N109-MIN($J109:$N109)), {""charttype"",""bar""; ""max"",1; ""color1"",""#4285F4""})"),"#DIV/0!")</f>
        <v>#DIV/0!</v>
      </c>
      <c r="R109" s="31" t="str">
        <f>IFERROR(__xludf.DUMMYFUNCTION("SPARKLINE((L109-MIN($J109:$N109))/SUMPRODUCT($J109:$N109-MIN($J109:$N109)), {""charttype"",""bar""; ""max"",1; ""color1"",""#4285F4""})"),"#DIV/0!")</f>
        <v>#DIV/0!</v>
      </c>
      <c r="S109" s="31" t="str">
        <f>IFERROR(__xludf.DUMMYFUNCTION("SPARKLINE((M109-MIN($J109:$N109))/SUMPRODUCT($J109:$N109-MIN($J109:$N109)), {""charttype"",""bar""; ""max"",1; ""color1"",""#4285F4""})"),"#DIV/0!")</f>
        <v>#DIV/0!</v>
      </c>
      <c r="T109" s="31" t="str">
        <f>IFERROR(__xludf.DUMMYFUNCTION("SPARKLINE((N109-MIN($J109:$N109))/SUMPRODUCT($J109:$N109-MIN($J109:$N109)), {""charttype"",""bar""; ""max"",1; ""color1"",""#4285F4""})"),"#DIV/0!")</f>
        <v>#DIV/0!</v>
      </c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B110" s="1"/>
      <c r="C110" s="2"/>
      <c r="D110" s="2"/>
      <c r="E110" s="2"/>
      <c r="F110" s="2"/>
      <c r="G110" s="2"/>
      <c r="H110" s="2"/>
      <c r="I110" s="2"/>
      <c r="J110" s="13"/>
      <c r="K110" s="14"/>
      <c r="L110" s="14"/>
      <c r="M110" s="14"/>
      <c r="N110" s="15"/>
      <c r="O110" s="3"/>
      <c r="P110" s="31" t="str">
        <f>IFERROR(__xludf.DUMMYFUNCTION("SPARKLINE((J110-MIN($J110:$N110))/SUMPRODUCT($J110:$N110-MIN($J110:$N110)), {""charttype"",""bar""; ""max"",1; ""color1"",""#4285F4""})"),"#DIV/0!")</f>
        <v>#DIV/0!</v>
      </c>
      <c r="Q110" s="31" t="str">
        <f>IFERROR(__xludf.DUMMYFUNCTION("SPARKLINE((K110-MIN($J110:$N110))/SUMPRODUCT($J110:$N110-MIN($J110:$N110)), {""charttype"",""bar""; ""max"",1; ""color1"",""#4285F4""})"),"#DIV/0!")</f>
        <v>#DIV/0!</v>
      </c>
      <c r="R110" s="31" t="str">
        <f>IFERROR(__xludf.DUMMYFUNCTION("SPARKLINE((L110-MIN($J110:$N110))/SUMPRODUCT($J110:$N110-MIN($J110:$N110)), {""charttype"",""bar""; ""max"",1; ""color1"",""#4285F4""})"),"#DIV/0!")</f>
        <v>#DIV/0!</v>
      </c>
      <c r="S110" s="31" t="str">
        <f>IFERROR(__xludf.DUMMYFUNCTION("SPARKLINE((M110-MIN($J110:$N110))/SUMPRODUCT($J110:$N110-MIN($J110:$N110)), {""charttype"",""bar""; ""max"",1; ""color1"",""#4285F4""})"),"#DIV/0!")</f>
        <v>#DIV/0!</v>
      </c>
      <c r="T110" s="31" t="str">
        <f>IFERROR(__xludf.DUMMYFUNCTION("SPARKLINE((N110-MIN($J110:$N110))/SUMPRODUCT($J110:$N110-MIN($J110:$N110)), {""charttype"",""bar""; ""max"",1; ""color1"",""#4285F4""})"),"#DIV/0!")</f>
        <v>#DIV/0!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1" t="s">
        <v>3</v>
      </c>
      <c r="M111" s="2"/>
      <c r="N111" s="2"/>
      <c r="O111" s="3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1" t="s">
        <v>3</v>
      </c>
      <c r="M112" s="2"/>
      <c r="N112" s="2"/>
      <c r="O112" s="3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B113" s="1"/>
      <c r="C113" s="2"/>
      <c r="D113" s="2"/>
      <c r="E113" s="2"/>
      <c r="F113" s="2"/>
      <c r="G113" s="2"/>
      <c r="H113" s="2"/>
      <c r="I113" s="34" t="s">
        <v>24</v>
      </c>
      <c r="J113" s="35" t="s">
        <v>25</v>
      </c>
      <c r="K113" s="36"/>
      <c r="L113" s="36"/>
      <c r="M113" s="36"/>
      <c r="N113" s="37"/>
      <c r="O113" s="3"/>
      <c r="P113" s="31" t="str">
        <f>IFERROR(__xludf.DUMMYFUNCTION("SPARKLINE((J113-MIN($J113:$N113))/SUMPRODUCT($J113:$N113-MIN($J113:$N113)), {""charttype"",""bar""; ""max"",1; ""color1"",""#4285F4""})"),"#VALUE!")</f>
        <v>#VALUE!</v>
      </c>
      <c r="Q113" s="31" t="str">
        <f>IFERROR(__xludf.DUMMYFUNCTION("SPARKLINE((K113-MIN($J113:$N113))/SUMPRODUCT($J113:$N113-MIN($J113:$N113)), {""charttype"",""bar""; ""max"",1; ""color1"",""#4285F4""})"),"#VALUE!")</f>
        <v>#VALUE!</v>
      </c>
      <c r="R113" s="31" t="str">
        <f>IFERROR(__xludf.DUMMYFUNCTION("SPARKLINE((L113-MIN($J113:$N113))/SUMPRODUCT($J113:$N113-MIN($J113:$N113)), {""charttype"",""bar""; ""max"",1; ""color1"",""#4285F4""})"),"#VALUE!")</f>
        <v>#VALUE!</v>
      </c>
      <c r="S113" s="31" t="str">
        <f>IFERROR(__xludf.DUMMYFUNCTION("SPARKLINE((M113-MIN($J113:$N113))/SUMPRODUCT($J113:$N113-MIN($J113:$N113)), {""charttype"",""bar""; ""max"",1; ""color1"",""#4285F4""})"),"#VALUE!")</f>
        <v>#VALUE!</v>
      </c>
      <c r="T113" s="31" t="str">
        <f>IFERROR(__xludf.DUMMYFUNCTION("SPARKLINE((N113-MIN($J113:$N113))/SUMPRODUCT($J113:$N113-MIN($J113:$N113)), {""charttype"",""bar""; ""max"",1; ""color1"",""#4285F4""})"),"#VALUE!")</f>
        <v>#VALUE!</v>
      </c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B114" s="1"/>
      <c r="C114" s="2"/>
      <c r="D114" s="2"/>
      <c r="E114" s="2"/>
      <c r="F114" s="2"/>
      <c r="G114" s="2"/>
      <c r="H114" s="2"/>
      <c r="I114" s="34" t="s">
        <v>26</v>
      </c>
      <c r="J114" s="39"/>
      <c r="K114" s="40"/>
      <c r="L114" s="40"/>
      <c r="M114" s="40"/>
      <c r="N114" s="41"/>
      <c r="O114" s="3"/>
      <c r="P114" s="31" t="str">
        <f>IFERROR(__xludf.DUMMYFUNCTION("SPARKLINE((J114-MIN($J114:$N114))/SUMPRODUCT($J114:$N114-MIN($J114:$N114)), {""charttype"",""bar""; ""max"",1; ""color1"",""#4285F4""})"),"#DIV/0!")</f>
        <v>#DIV/0!</v>
      </c>
      <c r="Q114" s="31" t="str">
        <f>IFERROR(__xludf.DUMMYFUNCTION("SPARKLINE((K114-MIN($J114:$N114))/SUMPRODUCT($J114:$N114-MIN($J114:$N114)), {""charttype"",""bar""; ""max"",1; ""color1"",""#4285F4""})"),"#DIV/0!")</f>
        <v>#DIV/0!</v>
      </c>
      <c r="R114" s="31" t="str">
        <f>IFERROR(__xludf.DUMMYFUNCTION("SPARKLINE((L114-MIN($J114:$N114))/SUMPRODUCT($J114:$N114-MIN($J114:$N114)), {""charttype"",""bar""; ""max"",1; ""color1"",""#4285F4""})"),"#DIV/0!")</f>
        <v>#DIV/0!</v>
      </c>
      <c r="S114" s="31" t="str">
        <f>IFERROR(__xludf.DUMMYFUNCTION("SPARKLINE((M114-MIN($J114:$N114))/SUMPRODUCT($J114:$N114-MIN($J114:$N114)), {""charttype"",""bar""; ""max"",1; ""color1"",""#4285F4""})"),"#DIV/0!")</f>
        <v>#DIV/0!</v>
      </c>
      <c r="T114" s="31" t="str">
        <f>IFERROR(__xludf.DUMMYFUNCTION("SPARKLINE((N114-MIN($J114:$N114))/SUMPRODUCT($J114:$N114-MIN($J114:$N114)), {""charttype"",""bar""; ""max"",1; ""color1"",""#4285F4""})"),"#DIV/0!")</f>
        <v>#DIV/0!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B115" s="1"/>
      <c r="C115" s="2"/>
      <c r="D115" s="2"/>
      <c r="E115" s="2"/>
      <c r="F115" s="2"/>
      <c r="G115" s="2"/>
      <c r="H115" s="2"/>
      <c r="I115" s="42"/>
      <c r="J115" s="39"/>
      <c r="K115" s="40"/>
      <c r="L115" s="40"/>
      <c r="M115" s="40"/>
      <c r="N115" s="41"/>
      <c r="O115" s="3"/>
      <c r="P115" s="31" t="str">
        <f>IFERROR(__xludf.DUMMYFUNCTION("SPARKLINE((J115-MIN($J115:$N115))/SUMPRODUCT($J115:$N115-MIN($J115:$N115)), {""charttype"",""bar""; ""max"",1; ""color1"",""#4285F4""})"),"#DIV/0!")</f>
        <v>#DIV/0!</v>
      </c>
      <c r="Q115" s="31" t="str">
        <f>IFERROR(__xludf.DUMMYFUNCTION("SPARKLINE((K115-MIN($J115:$N115))/SUMPRODUCT($J115:$N115-MIN($J115:$N115)), {""charttype"",""bar""; ""max"",1; ""color1"",""#4285F4""})"),"#DIV/0!")</f>
        <v>#DIV/0!</v>
      </c>
      <c r="R115" s="31" t="str">
        <f>IFERROR(__xludf.DUMMYFUNCTION("SPARKLINE((L115-MIN($J115:$N115))/SUMPRODUCT($J115:$N115-MIN($J115:$N115)), {""charttype"",""bar""; ""max"",1; ""color1"",""#4285F4""})"),"#DIV/0!")</f>
        <v>#DIV/0!</v>
      </c>
      <c r="S115" s="31" t="str">
        <f>IFERROR(__xludf.DUMMYFUNCTION("SPARKLINE((M115-MIN($J115:$N115))/SUMPRODUCT($J115:$N115-MIN($J115:$N115)), {""charttype"",""bar""; ""max"",1; ""color1"",""#4285F4""})"),"#DIV/0!")</f>
        <v>#DIV/0!</v>
      </c>
      <c r="T115" s="31" t="str">
        <f>IFERROR(__xludf.DUMMYFUNCTION("SPARKLINE((N115-MIN($J115:$N115))/SUMPRODUCT($J115:$N115-MIN($J115:$N115)), {""charttype"",""bar""; ""max"",1; ""color1"",""#4285F4""})"),"#DIV/0!")</f>
        <v>#DIV/0!</v>
      </c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B116" s="1"/>
      <c r="C116" s="2"/>
      <c r="D116" s="2"/>
      <c r="E116" s="2"/>
      <c r="F116" s="2"/>
      <c r="G116" s="2"/>
      <c r="H116" s="2"/>
      <c r="I116" s="43"/>
      <c r="J116" s="39"/>
      <c r="K116" s="40"/>
      <c r="L116" s="40"/>
      <c r="M116" s="40"/>
      <c r="N116" s="41"/>
      <c r="O116" s="3"/>
      <c r="P116" s="31" t="str">
        <f>IFERROR(__xludf.DUMMYFUNCTION("SPARKLINE((J116-MIN($J116:$N116))/SUMPRODUCT($J116:$N116-MIN($J116:$N116)), {""charttype"",""bar""; ""max"",1; ""color1"",""#4285F4""})"),"#DIV/0!")</f>
        <v>#DIV/0!</v>
      </c>
      <c r="Q116" s="31" t="str">
        <f>IFERROR(__xludf.DUMMYFUNCTION("SPARKLINE((K116-MIN($J116:$N116))/SUMPRODUCT($J116:$N116-MIN($J116:$N116)), {""charttype"",""bar""; ""max"",1; ""color1"",""#4285F4""})"),"#DIV/0!")</f>
        <v>#DIV/0!</v>
      </c>
      <c r="R116" s="31" t="str">
        <f>IFERROR(__xludf.DUMMYFUNCTION("SPARKLINE((L116-MIN($J116:$N116))/SUMPRODUCT($J116:$N116-MIN($J116:$N116)), {""charttype"",""bar""; ""max"",1; ""color1"",""#4285F4""})"),"#DIV/0!")</f>
        <v>#DIV/0!</v>
      </c>
      <c r="S116" s="31" t="str">
        <f>IFERROR(__xludf.DUMMYFUNCTION("SPARKLINE((M116-MIN($J116:$N116))/SUMPRODUCT($J116:$N116-MIN($J116:$N116)), {""charttype"",""bar""; ""max"",1; ""color1"",""#4285F4""})"),"#DIV/0!")</f>
        <v>#DIV/0!</v>
      </c>
      <c r="T116" s="31" t="str">
        <f>IFERROR(__xludf.DUMMYFUNCTION("SPARKLINE((N116-MIN($J116:$N116))/SUMPRODUCT($J116:$N116-MIN($J116:$N116)), {""charttype"",""bar""; ""max"",1; ""color1"",""#4285F4""})"),"#DIV/0!")</f>
        <v>#DIV/0!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B117" s="1"/>
      <c r="C117" s="2"/>
      <c r="D117" s="2"/>
      <c r="E117" s="2"/>
      <c r="F117" s="2"/>
      <c r="G117" s="2"/>
      <c r="H117" s="2"/>
      <c r="I117" s="42"/>
      <c r="J117" s="44"/>
      <c r="K117" s="45"/>
      <c r="L117" s="45"/>
      <c r="M117" s="45"/>
      <c r="N117" s="46"/>
      <c r="O117" s="3"/>
      <c r="P117" s="31" t="str">
        <f>IFERROR(__xludf.DUMMYFUNCTION("SPARKLINE((J117-MIN($J117:$N117))/SUMPRODUCT($J117:$N117-MIN($J117:$N117)), {""charttype"",""bar""; ""max"",1; ""color1"",""#4285F4""})"),"#DIV/0!")</f>
        <v>#DIV/0!</v>
      </c>
      <c r="Q117" s="31" t="str">
        <f>IFERROR(__xludf.DUMMYFUNCTION("SPARKLINE((K117-MIN($J117:$N117))/SUMPRODUCT($J117:$N117-MIN($J117:$N117)), {""charttype"",""bar""; ""max"",1; ""color1"",""#4285F4""})"),"#DIV/0!")</f>
        <v>#DIV/0!</v>
      </c>
      <c r="R117" s="31" t="str">
        <f>IFERROR(__xludf.DUMMYFUNCTION("SPARKLINE((L117-MIN($J117:$N117))/SUMPRODUCT($J117:$N117-MIN($J117:$N117)), {""charttype"",""bar""; ""max"",1; ""color1"",""#4285F4""})"),"#DIV/0!")</f>
        <v>#DIV/0!</v>
      </c>
      <c r="S117" s="31" t="str">
        <f>IFERROR(__xludf.DUMMYFUNCTION("SPARKLINE((M117-MIN($J117:$N117))/SUMPRODUCT($J117:$N117-MIN($J117:$N117)), {""charttype"",""bar""; ""max"",1; ""color1"",""#4285F4""})"),"#DIV/0!")</f>
        <v>#DIV/0!</v>
      </c>
      <c r="T117" s="31" t="str">
        <f>IFERROR(__xludf.DUMMYFUNCTION("SPARKLINE((N117-MIN($J117:$N117))/SUMPRODUCT($J117:$N117-MIN($J117:$N117)), {""charttype"",""bar""; ""max"",1; ""color1"",""#4285F4""})"),"#DIV/0!")</f>
        <v>#DIV/0!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47" t="s">
        <v>27</v>
      </c>
      <c r="AA119" s="48"/>
      <c r="AB119" s="48"/>
      <c r="AC119" s="48"/>
      <c r="AD119" s="48"/>
      <c r="AE119" s="48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B125" s="1"/>
      <c r="C125" s="2"/>
      <c r="D125" s="2"/>
      <c r="E125" s="2"/>
      <c r="F125" s="2"/>
      <c r="G125" s="2"/>
      <c r="H125" s="2"/>
      <c r="I125" s="6" t="s">
        <v>22</v>
      </c>
      <c r="J125" s="7" t="str">
        <f t="array" ref="J125:N129">J106:N110</f>
        <v>J97/$G$107</v>
      </c>
      <c r="K125" s="8"/>
      <c r="L125" s="8"/>
      <c r="M125" s="8"/>
      <c r="N125" s="9"/>
      <c r="O125" s="3"/>
      <c r="P125" s="31" t="str">
        <f>IFERROR(__xludf.DUMMYFUNCTION("SPARKLINE((J125-MIN($J125:$N125))/SUMPRODUCT($J125:$N125-MIN($J125:$N125)), {""charttype"",""bar""; ""max"",1; ""color1"",""#4285F4""})"),"#VALUE!")</f>
        <v>#VALUE!</v>
      </c>
      <c r="Q125" s="31" t="str">
        <f>IFERROR(__xludf.DUMMYFUNCTION("SPARKLINE((K125-MIN($J125:$N125))/SUMPRODUCT($J125:$N125-MIN($J125:$N125)), {""charttype"",""bar""; ""max"",1; ""color1"",""#4285F4""})"),"#VALUE!")</f>
        <v>#VALUE!</v>
      </c>
      <c r="R125" s="31" t="str">
        <f>IFERROR(__xludf.DUMMYFUNCTION("SPARKLINE((L125-MIN($J125:$N125))/SUMPRODUCT($J125:$N125-MIN($J125:$N125)), {""charttype"",""bar""; ""max"",1; ""color1"",""#4285F4""})"),"#VALUE!")</f>
        <v>#VALUE!</v>
      </c>
      <c r="S125" s="31" t="str">
        <f>IFERROR(__xludf.DUMMYFUNCTION("SPARKLINE((M125-MIN($J125:$N125))/SUMPRODUCT($J125:$N125-MIN($J125:$N125)), {""charttype"",""bar""; ""max"",1; ""color1"",""#4285F4""})"),"#VALUE!")</f>
        <v>#VALUE!</v>
      </c>
      <c r="T125" s="31" t="str">
        <f>IFERROR(__xludf.DUMMYFUNCTION("SPARKLINE((N125-MIN($J125:$N125))/SUMPRODUCT($J125:$N125-MIN($J125:$N125)), {""charttype"",""bar""; ""max"",1; ""color1"",""#4285F4""})"),"#VALUE!")</f>
        <v>#VALUE!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B126" s="1"/>
      <c r="C126" s="2"/>
      <c r="D126" s="2"/>
      <c r="E126" s="2"/>
      <c r="F126" s="2"/>
      <c r="G126" s="2"/>
      <c r="H126" s="2"/>
      <c r="I126" s="6"/>
      <c r="J126" s="11"/>
      <c r="K126" s="10"/>
      <c r="L126" s="10"/>
      <c r="M126" s="10"/>
      <c r="N126" s="12"/>
      <c r="O126" s="3"/>
      <c r="P126" s="31" t="str">
        <f>IFERROR(__xludf.DUMMYFUNCTION("SPARKLINE((J126-MIN($J126:$N126))/SUMPRODUCT($J126:$N126-MIN($J126:$N126)), {""charttype"",""bar""; ""max"",1; ""color1"",""#4285F4""})"),"#DIV/0!")</f>
        <v>#DIV/0!</v>
      </c>
      <c r="Q126" s="31" t="str">
        <f>IFERROR(__xludf.DUMMYFUNCTION("SPARKLINE((K126-MIN($J126:$N126))/SUMPRODUCT($J126:$N126-MIN($J126:$N126)), {""charttype"",""bar""; ""max"",1; ""color1"",""#4285F4""})"),"#DIV/0!")</f>
        <v>#DIV/0!</v>
      </c>
      <c r="R126" s="31" t="str">
        <f>IFERROR(__xludf.DUMMYFUNCTION("SPARKLINE((L126-MIN($J126:$N126))/SUMPRODUCT($J126:$N126-MIN($J126:$N126)), {""charttype"",""bar""; ""max"",1; ""color1"",""#4285F4""})"),"#DIV/0!")</f>
        <v>#DIV/0!</v>
      </c>
      <c r="S126" s="31" t="str">
        <f>IFERROR(__xludf.DUMMYFUNCTION("SPARKLINE((M126-MIN($J126:$N126))/SUMPRODUCT($J126:$N126-MIN($J126:$N126)), {""charttype"",""bar""; ""max"",1; ""color1"",""#4285F4""})"),"#DIV/0!")</f>
        <v>#DIV/0!</v>
      </c>
      <c r="T126" s="31" t="str">
        <f>IFERROR(__xludf.DUMMYFUNCTION("SPARKLINE((N126-MIN($J126:$N126))/SUMPRODUCT($J126:$N126-MIN($J126:$N126)), {""charttype"",""bar""; ""max"",1; ""color1"",""#4285F4""})"),"#DIV/0!")</f>
        <v>#DIV/0!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B127" s="1"/>
      <c r="C127" s="2"/>
      <c r="D127" s="2"/>
      <c r="E127" s="2"/>
      <c r="F127" s="2"/>
      <c r="G127" s="2"/>
      <c r="H127" s="2"/>
      <c r="I127" s="2"/>
      <c r="J127" s="11"/>
      <c r="K127" s="10"/>
      <c r="L127" s="10"/>
      <c r="M127" s="10"/>
      <c r="N127" s="12"/>
      <c r="O127" s="3"/>
      <c r="P127" s="31" t="str">
        <f>IFERROR(__xludf.DUMMYFUNCTION("SPARKLINE((J127-MIN($J127:$N127))/SUMPRODUCT($J127:$N127-MIN($J127:$N127)), {""charttype"",""bar""; ""max"",1; ""color1"",""#4285F4""})"),"#DIV/0!")</f>
        <v>#DIV/0!</v>
      </c>
      <c r="Q127" s="31" t="str">
        <f>IFERROR(__xludf.DUMMYFUNCTION("SPARKLINE((K127-MIN($J127:$N127))/SUMPRODUCT($J127:$N127-MIN($J127:$N127)), {""charttype"",""bar""; ""max"",1; ""color1"",""#4285F4""})"),"#DIV/0!")</f>
        <v>#DIV/0!</v>
      </c>
      <c r="R127" s="31" t="str">
        <f>IFERROR(__xludf.DUMMYFUNCTION("SPARKLINE((L127-MIN($J127:$N127))/SUMPRODUCT($J127:$N127-MIN($J127:$N127)), {""charttype"",""bar""; ""max"",1; ""color1"",""#4285F4""})"),"#DIV/0!")</f>
        <v>#DIV/0!</v>
      </c>
      <c r="S127" s="31" t="str">
        <f>IFERROR(__xludf.DUMMYFUNCTION("SPARKLINE((M127-MIN($J127:$N127))/SUMPRODUCT($J127:$N127-MIN($J127:$N127)), {""charttype"",""bar""; ""max"",1; ""color1"",""#4285F4""})"),"#DIV/0!")</f>
        <v>#DIV/0!</v>
      </c>
      <c r="T127" s="31" t="str">
        <f>IFERROR(__xludf.DUMMYFUNCTION("SPARKLINE((N127-MIN($J127:$N127))/SUMPRODUCT($J127:$N127-MIN($J127:$N127)), {""charttype"",""bar""; ""max"",1; ""color1"",""#4285F4""})"),"#DIV/0!")</f>
        <v>#DIV/0!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B128" s="1"/>
      <c r="C128" s="2"/>
      <c r="D128" s="2"/>
      <c r="E128" s="2"/>
      <c r="F128" s="2"/>
      <c r="G128" s="2"/>
      <c r="H128" s="2"/>
      <c r="I128" s="17"/>
      <c r="J128" s="11"/>
      <c r="K128" s="10"/>
      <c r="L128" s="10"/>
      <c r="M128" s="10"/>
      <c r="N128" s="12"/>
      <c r="O128" s="3"/>
      <c r="P128" s="31" t="str">
        <f>IFERROR(__xludf.DUMMYFUNCTION("SPARKLINE((J128-MIN($J128:$N128))/SUMPRODUCT($J128:$N128-MIN($J128:$N128)), {""charttype"",""bar""; ""max"",1; ""color1"",""#4285F4""})"),"#DIV/0!")</f>
        <v>#DIV/0!</v>
      </c>
      <c r="Q128" s="31" t="str">
        <f>IFERROR(__xludf.DUMMYFUNCTION("SPARKLINE((K128-MIN($J128:$N128))/SUMPRODUCT($J128:$N128-MIN($J128:$N128)), {""charttype"",""bar""; ""max"",1; ""color1"",""#4285F4""})"),"#DIV/0!")</f>
        <v>#DIV/0!</v>
      </c>
      <c r="R128" s="31" t="str">
        <f>IFERROR(__xludf.DUMMYFUNCTION("SPARKLINE((L128-MIN($J128:$N128))/SUMPRODUCT($J128:$N128-MIN($J128:$N128)), {""charttype"",""bar""; ""max"",1; ""color1"",""#4285F4""})"),"#DIV/0!")</f>
        <v>#DIV/0!</v>
      </c>
      <c r="S128" s="31" t="str">
        <f>IFERROR(__xludf.DUMMYFUNCTION("SPARKLINE((M128-MIN($J128:$N128))/SUMPRODUCT($J128:$N128-MIN($J128:$N128)), {""charttype"",""bar""; ""max"",1; ""color1"",""#4285F4""})"),"#DIV/0!")</f>
        <v>#DIV/0!</v>
      </c>
      <c r="T128" s="31" t="str">
        <f>IFERROR(__xludf.DUMMYFUNCTION("SPARKLINE((N128-MIN($J128:$N128))/SUMPRODUCT($J128:$N128-MIN($J128:$N128)), {""charttype"",""bar""; ""max"",1; ""color1"",""#4285F4""})"),"#DIV/0!")</f>
        <v>#DIV/0!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B129" s="1"/>
      <c r="C129" s="2"/>
      <c r="D129" s="2"/>
      <c r="E129" s="2"/>
      <c r="F129" s="2"/>
      <c r="G129" s="2"/>
      <c r="H129" s="2"/>
      <c r="I129" s="2"/>
      <c r="J129" s="13"/>
      <c r="K129" s="14"/>
      <c r="L129" s="14"/>
      <c r="M129" s="14"/>
      <c r="N129" s="15"/>
      <c r="O129" s="3"/>
      <c r="P129" s="31" t="str">
        <f>IFERROR(__xludf.DUMMYFUNCTION("SPARKLINE((J129-MIN($J129:$N129))/SUMPRODUCT($J129:$N129-MIN($J129:$N129)), {""charttype"",""bar""; ""max"",1; ""color1"",""#4285F4""})"),"#DIV/0!")</f>
        <v>#DIV/0!</v>
      </c>
      <c r="Q129" s="31" t="str">
        <f>IFERROR(__xludf.DUMMYFUNCTION("SPARKLINE((K129-MIN($J129:$N129))/SUMPRODUCT($J129:$N129-MIN($J129:$N129)), {""charttype"",""bar""; ""max"",1; ""color1"",""#4285F4""})"),"#DIV/0!")</f>
        <v>#DIV/0!</v>
      </c>
      <c r="R129" s="31" t="str">
        <f>IFERROR(__xludf.DUMMYFUNCTION("SPARKLINE((L129-MIN($J129:$N129))/SUMPRODUCT($J129:$N129-MIN($J129:$N129)), {""charttype"",""bar""; ""max"",1; ""color1"",""#4285F4""})"),"#DIV/0!")</f>
        <v>#DIV/0!</v>
      </c>
      <c r="S129" s="31" t="str">
        <f>IFERROR(__xludf.DUMMYFUNCTION("SPARKLINE((M129-MIN($J129:$N129))/SUMPRODUCT($J129:$N129-MIN($J129:$N129)), {""charttype"",""bar""; ""max"",1; ""color1"",""#4285F4""})"),"#DIV/0!")</f>
        <v>#DIV/0!</v>
      </c>
      <c r="T129" s="31" t="str">
        <f>IFERROR(__xludf.DUMMYFUNCTION("SPARKLINE((N129-MIN($J129:$N129))/SUMPRODUCT($J129:$N129-MIN($J129:$N129)), {""charttype"",""bar""; ""max"",1; ""color1"",""#4285F4""})"),"#DIV/0!")</f>
        <v>#DIV/0!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1" t="s">
        <v>3</v>
      </c>
      <c r="M130" s="2"/>
      <c r="N130" s="2"/>
      <c r="O130" s="3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1" t="s">
        <v>3</v>
      </c>
      <c r="M131" s="2"/>
      <c r="N131" s="2"/>
      <c r="O131" s="3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B132" s="6" t="s">
        <v>28</v>
      </c>
      <c r="C132" s="49">
        <v>0.0</v>
      </c>
      <c r="D132" s="50">
        <v>-99.0</v>
      </c>
      <c r="E132" s="50">
        <v>-99.0</v>
      </c>
      <c r="F132" s="50">
        <v>-99.0</v>
      </c>
      <c r="G132" s="51">
        <v>-99.0</v>
      </c>
      <c r="H132" s="2"/>
      <c r="I132" s="6" t="s">
        <v>29</v>
      </c>
      <c r="J132" s="20" t="s">
        <v>30</v>
      </c>
      <c r="K132" s="52"/>
      <c r="L132" s="53"/>
      <c r="M132" s="52"/>
      <c r="N132" s="54"/>
      <c r="O132" s="3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B133" s="6" t="s">
        <v>31</v>
      </c>
      <c r="C133" s="55">
        <v>0.0</v>
      </c>
      <c r="D133" s="56">
        <v>0.0</v>
      </c>
      <c r="E133" s="57">
        <v>-99.0</v>
      </c>
      <c r="F133" s="57">
        <v>-99.0</v>
      </c>
      <c r="G133" s="58">
        <v>-99.0</v>
      </c>
      <c r="H133" s="2"/>
      <c r="I133" s="2"/>
      <c r="J133" s="11"/>
      <c r="K133" s="10"/>
      <c r="L133" s="59"/>
      <c r="M133" s="60"/>
      <c r="N133" s="61"/>
      <c r="O133" s="3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B134" s="1"/>
      <c r="C134" s="55">
        <v>0.0</v>
      </c>
      <c r="D134" s="56">
        <v>0.0</v>
      </c>
      <c r="E134" s="56">
        <v>0.0</v>
      </c>
      <c r="F134" s="57">
        <v>-99.0</v>
      </c>
      <c r="G134" s="58">
        <v>-99.0</v>
      </c>
      <c r="H134" s="17" t="s">
        <v>7</v>
      </c>
      <c r="I134" s="17" t="s">
        <v>7</v>
      </c>
      <c r="J134" s="11"/>
      <c r="K134" s="10"/>
      <c r="L134" s="17"/>
      <c r="M134" s="60"/>
      <c r="N134" s="61"/>
      <c r="O134" s="3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B135" s="1"/>
      <c r="C135" s="55">
        <v>0.0</v>
      </c>
      <c r="D135" s="56">
        <v>0.0</v>
      </c>
      <c r="E135" s="56">
        <v>0.0</v>
      </c>
      <c r="F135" s="56">
        <v>0.0</v>
      </c>
      <c r="G135" s="58">
        <v>-99.0</v>
      </c>
      <c r="H135" s="2"/>
      <c r="I135" s="2"/>
      <c r="J135" s="11"/>
      <c r="K135" s="10"/>
      <c r="L135" s="17"/>
      <c r="M135" s="10"/>
      <c r="N135" s="61"/>
      <c r="O135" s="3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B136" s="1"/>
      <c r="C136" s="62">
        <v>0.0</v>
      </c>
      <c r="D136" s="63">
        <v>0.0</v>
      </c>
      <c r="E136" s="63">
        <v>0.0</v>
      </c>
      <c r="F136" s="63">
        <v>0.0</v>
      </c>
      <c r="G136" s="64">
        <v>0.0</v>
      </c>
      <c r="H136" s="2"/>
      <c r="I136" s="2"/>
      <c r="J136" s="13"/>
      <c r="K136" s="14"/>
      <c r="L136" s="65"/>
      <c r="M136" s="14"/>
      <c r="N136" s="15"/>
      <c r="O136" s="3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1" t="s">
        <v>3</v>
      </c>
      <c r="M137" s="2"/>
      <c r="N137" s="2"/>
      <c r="O137" s="3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1" t="s">
        <v>3</v>
      </c>
      <c r="M138" s="2"/>
      <c r="N138" s="2"/>
      <c r="O138" s="3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B139" s="1"/>
      <c r="C139" s="2"/>
      <c r="D139" s="2"/>
      <c r="E139" s="2"/>
      <c r="F139" s="2"/>
      <c r="G139" s="2"/>
      <c r="H139" s="2"/>
      <c r="I139" s="34" t="s">
        <v>24</v>
      </c>
      <c r="J139" s="38" t="str">
        <f t="shared" ref="J139:N139" si="21">EXP(J132)/SUMPRODUCT(EXP($J132:$N132))
</f>
        <v>#VALUE!</v>
      </c>
      <c r="K139" s="36" t="str">
        <f t="shared" si="21"/>
        <v>#VALUE!</v>
      </c>
      <c r="L139" s="36" t="str">
        <f t="shared" si="21"/>
        <v>#VALUE!</v>
      </c>
      <c r="M139" s="36" t="str">
        <f t="shared" si="21"/>
        <v>#VALUE!</v>
      </c>
      <c r="N139" s="37" t="str">
        <f t="shared" si="21"/>
        <v>#VALUE!</v>
      </c>
      <c r="O139" s="3"/>
      <c r="P139" s="31" t="str">
        <f>IFERROR(__xludf.DUMMYFUNCTION("SPARKLINE((J139-MIN($J139:$N139))/SUMPRODUCT($J139:$N139-MIN($J139:$N139)), {""charttype"",""bar""; ""max"",1; ""color1"",""#4285F4""})"),"#VALUE!")</f>
        <v>#VALUE!</v>
      </c>
      <c r="Q139" s="31" t="str">
        <f>IFERROR(__xludf.DUMMYFUNCTION("SPARKLINE((K139-MIN($J139:$N139))/SUMPRODUCT($J139:$N139-MIN($J139:$N139)), {""charttype"",""bar""; ""max"",1; ""color1"",""#4285F4""})"),"#VALUE!")</f>
        <v>#VALUE!</v>
      </c>
      <c r="R139" s="31" t="str">
        <f>IFERROR(__xludf.DUMMYFUNCTION("SPARKLINE((L139-MIN($J139:$N139))/SUMPRODUCT($J139:$N139-MIN($J139:$N139)), {""charttype"",""bar""; ""max"",1; ""color1"",""#4285F4""})"),"#VALUE!")</f>
        <v>#VALUE!</v>
      </c>
      <c r="S139" s="31" t="str">
        <f>IFERROR(__xludf.DUMMYFUNCTION("SPARKLINE((M139-MIN($J139:$N139))/SUMPRODUCT($J139:$N139-MIN($J139:$N139)), {""charttype"",""bar""; ""max"",1; ""color1"",""#4285F4""})"),"#VALUE!")</f>
        <v>#VALUE!</v>
      </c>
      <c r="T139" s="31" t="str">
        <f>IFERROR(__xludf.DUMMYFUNCTION("SPARKLINE((N139-MIN($J139:$N139))/SUMPRODUCT($J139:$N139-MIN($J139:$N139)), {""charttype"",""bar""; ""max"",1; ""color1"",""#4285F4""})"),"#VALUE!")</f>
        <v>#VALUE!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B140" s="1"/>
      <c r="C140" s="2"/>
      <c r="D140" s="2"/>
      <c r="E140" s="2"/>
      <c r="F140" s="2"/>
      <c r="G140" s="2"/>
      <c r="H140" s="2"/>
      <c r="I140" s="34" t="s">
        <v>26</v>
      </c>
      <c r="J140" s="39">
        <f t="shared" ref="J140:N140" si="22">EXP(J133)/SUMPRODUCT(EXP($J133:$N133))
</f>
        <v>0.2</v>
      </c>
      <c r="K140" s="40">
        <f t="shared" si="22"/>
        <v>0.2</v>
      </c>
      <c r="L140" s="40">
        <f t="shared" si="22"/>
        <v>0.2</v>
      </c>
      <c r="M140" s="40">
        <f t="shared" si="22"/>
        <v>0.2</v>
      </c>
      <c r="N140" s="41">
        <f t="shared" si="22"/>
        <v>0.2</v>
      </c>
      <c r="O140" s="3"/>
      <c r="P140" s="31" t="str">
        <f>IFERROR(__xludf.DUMMYFUNCTION("SPARKLINE((J140-MIN($J140:$N140))/SUMPRODUCT($J140:$N140-MIN($J140:$N140)), {""charttype"",""bar""; ""max"",1; ""color1"",""#4285F4""})"),"#DIV/0!")</f>
        <v>#DIV/0!</v>
      </c>
      <c r="Q140" s="31" t="str">
        <f>IFERROR(__xludf.DUMMYFUNCTION("SPARKLINE((K140-MIN($J140:$N140))/SUMPRODUCT($J140:$N140-MIN($J140:$N140)), {""charttype"",""bar""; ""max"",1; ""color1"",""#4285F4""})"),"#DIV/0!")</f>
        <v>#DIV/0!</v>
      </c>
      <c r="R140" s="31" t="str">
        <f>IFERROR(__xludf.DUMMYFUNCTION("SPARKLINE((L140-MIN($J140:$N140))/SUMPRODUCT($J140:$N140-MIN($J140:$N140)), {""charttype"",""bar""; ""max"",1; ""color1"",""#4285F4""})"),"#DIV/0!")</f>
        <v>#DIV/0!</v>
      </c>
      <c r="S140" s="31" t="str">
        <f>IFERROR(__xludf.DUMMYFUNCTION("SPARKLINE((M140-MIN($J140:$N140))/SUMPRODUCT($J140:$N140-MIN($J140:$N140)), {""charttype"",""bar""; ""max"",1; ""color1"",""#4285F4""})"),"#DIV/0!")</f>
        <v>#DIV/0!</v>
      </c>
      <c r="T140" s="31" t="str">
        <f>IFERROR(__xludf.DUMMYFUNCTION("SPARKLINE((N140-MIN($J140:$N140))/SUMPRODUCT($J140:$N140-MIN($J140:$N140)), {""charttype"",""bar""; ""max"",1; ""color1"",""#4285F4""})"),"#DIV/0!")</f>
        <v>#DIV/0!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B141" s="1"/>
      <c r="C141" s="2"/>
      <c r="D141" s="2"/>
      <c r="E141" s="2"/>
      <c r="F141" s="2"/>
      <c r="G141" s="2"/>
      <c r="H141" s="2"/>
      <c r="I141" s="42"/>
      <c r="J141" s="39">
        <f t="shared" ref="J141:N141" si="23">EXP(J134)/SUMPRODUCT(EXP($J134:$N134))
</f>
        <v>0.2</v>
      </c>
      <c r="K141" s="40">
        <f t="shared" si="23"/>
        <v>0.2</v>
      </c>
      <c r="L141" s="40">
        <f t="shared" si="23"/>
        <v>0.2</v>
      </c>
      <c r="M141" s="40">
        <f t="shared" si="23"/>
        <v>0.2</v>
      </c>
      <c r="N141" s="41">
        <f t="shared" si="23"/>
        <v>0.2</v>
      </c>
      <c r="O141" s="3"/>
      <c r="P141" s="31" t="str">
        <f>IFERROR(__xludf.DUMMYFUNCTION("SPARKLINE((J141-MIN($J141:$N141))/SUMPRODUCT($J141:$N141-MIN($J141:$N141)), {""charttype"",""bar""; ""max"",1; ""color1"",""#4285F4""})"),"#DIV/0!")</f>
        <v>#DIV/0!</v>
      </c>
      <c r="Q141" s="31" t="str">
        <f>IFERROR(__xludf.DUMMYFUNCTION("SPARKLINE((K141-MIN($J141:$N141))/SUMPRODUCT($J141:$N141-MIN($J141:$N141)), {""charttype"",""bar""; ""max"",1; ""color1"",""#4285F4""})"),"#DIV/0!")</f>
        <v>#DIV/0!</v>
      </c>
      <c r="R141" s="31" t="str">
        <f>IFERROR(__xludf.DUMMYFUNCTION("SPARKLINE((L141-MIN($J141:$N141))/SUMPRODUCT($J141:$N141-MIN($J141:$N141)), {""charttype"",""bar""; ""max"",1; ""color1"",""#4285F4""})"),"#DIV/0!")</f>
        <v>#DIV/0!</v>
      </c>
      <c r="S141" s="31" t="str">
        <f>IFERROR(__xludf.DUMMYFUNCTION("SPARKLINE((M141-MIN($J141:$N141))/SUMPRODUCT($J141:$N141-MIN($J141:$N141)), {""charttype"",""bar""; ""max"",1; ""color1"",""#4285F4""})"),"#DIV/0!")</f>
        <v>#DIV/0!</v>
      </c>
      <c r="T141" s="31" t="str">
        <f>IFERROR(__xludf.DUMMYFUNCTION("SPARKLINE((N141-MIN($J141:$N141))/SUMPRODUCT($J141:$N141-MIN($J141:$N141)), {""charttype"",""bar""; ""max"",1; ""color1"",""#4285F4""})"),"#DIV/0!")</f>
        <v>#DIV/0!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B142" s="1"/>
      <c r="C142" s="2"/>
      <c r="D142" s="2"/>
      <c r="E142" s="2"/>
      <c r="F142" s="2"/>
      <c r="G142" s="2"/>
      <c r="H142" s="2"/>
      <c r="I142" s="43"/>
      <c r="J142" s="39">
        <f t="shared" ref="J142:N142" si="24">EXP(J135)/SUMPRODUCT(EXP($J135:$N135))
</f>
        <v>0.2</v>
      </c>
      <c r="K142" s="40">
        <f t="shared" si="24"/>
        <v>0.2</v>
      </c>
      <c r="L142" s="40">
        <f t="shared" si="24"/>
        <v>0.2</v>
      </c>
      <c r="M142" s="40">
        <f t="shared" si="24"/>
        <v>0.2</v>
      </c>
      <c r="N142" s="41">
        <f t="shared" si="24"/>
        <v>0.2</v>
      </c>
      <c r="O142" s="3"/>
      <c r="P142" s="31" t="str">
        <f>IFERROR(__xludf.DUMMYFUNCTION("SPARKLINE((J142-MIN($J142:$N142))/SUMPRODUCT($J142:$N142-MIN($J142:$N142)), {""charttype"",""bar""; ""max"",1; ""color1"",""#4285F4""})"),"#DIV/0!")</f>
        <v>#DIV/0!</v>
      </c>
      <c r="Q142" s="31" t="str">
        <f>IFERROR(__xludf.DUMMYFUNCTION("SPARKLINE((K142-MIN($J142:$N142))/SUMPRODUCT($J142:$N142-MIN($J142:$N142)), {""charttype"",""bar""; ""max"",1; ""color1"",""#4285F4""})"),"#DIV/0!")</f>
        <v>#DIV/0!</v>
      </c>
      <c r="R142" s="31" t="str">
        <f>IFERROR(__xludf.DUMMYFUNCTION("SPARKLINE((L142-MIN($J142:$N142))/SUMPRODUCT($J142:$N142-MIN($J142:$N142)), {""charttype"",""bar""; ""max"",1; ""color1"",""#4285F4""})"),"#DIV/0!")</f>
        <v>#DIV/0!</v>
      </c>
      <c r="S142" s="31" t="str">
        <f>IFERROR(__xludf.DUMMYFUNCTION("SPARKLINE((M142-MIN($J142:$N142))/SUMPRODUCT($J142:$N142-MIN($J142:$N142)), {""charttype"",""bar""; ""max"",1; ""color1"",""#4285F4""})"),"#DIV/0!")</f>
        <v>#DIV/0!</v>
      </c>
      <c r="T142" s="31" t="str">
        <f>IFERROR(__xludf.DUMMYFUNCTION("SPARKLINE((N142-MIN($J142:$N142))/SUMPRODUCT($J142:$N142-MIN($J142:$N142)), {""charttype"",""bar""; ""max"",1; ""color1"",""#4285F4""})"),"#DIV/0!")</f>
        <v>#DIV/0!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B143" s="1"/>
      <c r="C143" s="2"/>
      <c r="D143" s="2"/>
      <c r="E143" s="2"/>
      <c r="F143" s="2"/>
      <c r="G143" s="2"/>
      <c r="H143" s="2"/>
      <c r="I143" s="42"/>
      <c r="J143" s="44">
        <f t="shared" ref="J143:N143" si="25">EXP(J136)/SUMPRODUCT(EXP($J136:$N136))
</f>
        <v>0.2</v>
      </c>
      <c r="K143" s="45">
        <f t="shared" si="25"/>
        <v>0.2</v>
      </c>
      <c r="L143" s="45">
        <f t="shared" si="25"/>
        <v>0.2</v>
      </c>
      <c r="M143" s="45">
        <f t="shared" si="25"/>
        <v>0.2</v>
      </c>
      <c r="N143" s="46">
        <f t="shared" si="25"/>
        <v>0.2</v>
      </c>
      <c r="O143" s="3"/>
      <c r="P143" s="31" t="str">
        <f>IFERROR(__xludf.DUMMYFUNCTION("SPARKLINE((J143-MIN($J143:$N143))/SUMPRODUCT($J143:$N143-MIN($J143:$N143)), {""charttype"",""bar""; ""max"",1; ""color1"",""#4285F4""})"),"#DIV/0!")</f>
        <v>#DIV/0!</v>
      </c>
      <c r="Q143" s="31" t="str">
        <f>IFERROR(__xludf.DUMMYFUNCTION("SPARKLINE((K143-MIN($J143:$N143))/SUMPRODUCT($J143:$N143-MIN($J143:$N143)), {""charttype"",""bar""; ""max"",1; ""color1"",""#4285F4""})"),"#DIV/0!")</f>
        <v>#DIV/0!</v>
      </c>
      <c r="R143" s="31" t="str">
        <f>IFERROR(__xludf.DUMMYFUNCTION("SPARKLINE((L143-MIN($J143:$N143))/SUMPRODUCT($J143:$N143-MIN($J143:$N143)), {""charttype"",""bar""; ""max"",1; ""color1"",""#4285F4""})"),"#DIV/0!")</f>
        <v>#DIV/0!</v>
      </c>
      <c r="S143" s="31" t="str">
        <f>IFERROR(__xludf.DUMMYFUNCTION("SPARKLINE((M143-MIN($J143:$N143))/SUMPRODUCT($J143:$N143-MIN($J143:$N143)), {""charttype"",""bar""; ""max"",1; ""color1"",""#4285F4""})"),"#DIV/0!")</f>
        <v>#DIV/0!</v>
      </c>
      <c r="T143" s="31" t="str">
        <f>IFERROR(__xludf.DUMMYFUNCTION("SPARKLINE((N143-MIN($J143:$N143))/SUMPRODUCT($J143:$N143-MIN($J143:$N143)), {""charttype"",""bar""; ""max"",1; ""color1"",""#4285F4""})"),"#DIV/0!")</f>
        <v>#DIV/0!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4" t="s">
        <v>32</v>
      </c>
      <c r="AA145" s="4"/>
      <c r="AB145" s="4"/>
      <c r="AC145" s="4"/>
      <c r="AD145" s="4"/>
      <c r="AE145" s="4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B151" s="1"/>
      <c r="C151" s="2"/>
      <c r="D151" s="2"/>
      <c r="E151" s="2"/>
      <c r="F151" s="2"/>
      <c r="G151" s="2"/>
      <c r="H151" s="2"/>
      <c r="I151" s="6" t="s">
        <v>15</v>
      </c>
      <c r="J151" s="7">
        <f t="array" ref="J151:N155">X72:AB76</f>
        <v>0.5827104297</v>
      </c>
      <c r="K151" s="8">
        <v>0.4668833207258894</v>
      </c>
      <c r="L151" s="8">
        <v>1.2688264414310946</v>
      </c>
      <c r="M151" s="8">
        <v>1.9140674938247968</v>
      </c>
      <c r="N151" s="9">
        <v>-0.5167172231333144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-0.6970021497341776</v>
      </c>
      <c r="K152" s="10">
        <v>0.7354459983247145</v>
      </c>
      <c r="L152" s="10">
        <v>-1.223152118673431</v>
      </c>
      <c r="M152" s="10">
        <v>-1.2624660977392905</v>
      </c>
      <c r="N152" s="12">
        <v>-0.7918486015999021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B153" s="1"/>
      <c r="C153" s="2"/>
      <c r="D153" s="2"/>
      <c r="E153" s="2"/>
      <c r="F153" s="2"/>
      <c r="G153" s="2"/>
      <c r="H153" s="2"/>
      <c r="I153" s="1"/>
      <c r="J153" s="11">
        <v>-3.8547766017871266</v>
      </c>
      <c r="K153" s="10">
        <v>0.9410699818765061</v>
      </c>
      <c r="L153" s="10">
        <v>-1.886129682387785</v>
      </c>
      <c r="M153" s="10">
        <v>-0.4745201261700951</v>
      </c>
      <c r="N153" s="12">
        <v>-0.683033040322822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B154" s="1"/>
      <c r="C154" s="2"/>
      <c r="D154" s="2"/>
      <c r="E154" s="2"/>
      <c r="F154" s="2"/>
      <c r="G154" s="2"/>
      <c r="H154" s="2"/>
      <c r="I154" s="1"/>
      <c r="J154" s="11">
        <v>-1.0738918311984607</v>
      </c>
      <c r="K154" s="10">
        <v>-0.09587483496101011</v>
      </c>
      <c r="L154" s="10">
        <v>-0.2072960008335793</v>
      </c>
      <c r="M154" s="10">
        <v>-1.189594242112734</v>
      </c>
      <c r="N154" s="12">
        <v>-0.8565558856524678</v>
      </c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B155" s="1"/>
      <c r="C155" s="2"/>
      <c r="D155" s="2"/>
      <c r="E155" s="2"/>
      <c r="F155" s="2"/>
      <c r="G155" s="2"/>
      <c r="H155" s="2"/>
      <c r="I155" s="1"/>
      <c r="J155" s="13">
        <v>1.3277276924821497</v>
      </c>
      <c r="K155" s="14">
        <v>-0.4648014507137799</v>
      </c>
      <c r="L155" s="14">
        <v>0.3263343975012711</v>
      </c>
      <c r="M155" s="14">
        <v>-1.5282271023458522</v>
      </c>
      <c r="N155" s="15">
        <v>0.555064691565549</v>
      </c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1" t="s">
        <v>3</v>
      </c>
      <c r="M156" s="2"/>
      <c r="N156" s="2"/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1" t="s">
        <v>3</v>
      </c>
      <c r="M157" s="2"/>
      <c r="N157" s="2"/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B158" s="34" t="s">
        <v>24</v>
      </c>
      <c r="C158" s="38" t="str">
        <f t="array" ref="C158:G162">J139:N143</f>
        <v>#VALUE!</v>
      </c>
      <c r="D158" s="36" t="e">
        <v>#VALUE!</v>
      </c>
      <c r="E158" s="36" t="e">
        <v>#VALUE!</v>
      </c>
      <c r="F158" s="36" t="e">
        <v>#VALUE!</v>
      </c>
      <c r="G158" s="37" t="e">
        <v>#VALUE!</v>
      </c>
      <c r="H158" s="2"/>
      <c r="I158" s="6" t="s">
        <v>33</v>
      </c>
      <c r="J158" s="20" t="s">
        <v>34</v>
      </c>
      <c r="K158" s="8"/>
      <c r="L158" s="8"/>
      <c r="M158" s="8"/>
      <c r="N158" s="9"/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B159" s="34" t="s">
        <v>26</v>
      </c>
      <c r="C159" s="39">
        <v>0.2</v>
      </c>
      <c r="D159" s="40">
        <v>0.2</v>
      </c>
      <c r="E159" s="40">
        <v>0.2</v>
      </c>
      <c r="F159" s="40">
        <v>0.2</v>
      </c>
      <c r="G159" s="41">
        <v>0.2</v>
      </c>
      <c r="H159" s="2"/>
      <c r="I159" s="2"/>
      <c r="J159" s="11"/>
      <c r="K159" s="10"/>
      <c r="L159" s="10"/>
      <c r="M159" s="10"/>
      <c r="N159" s="12"/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B160" s="66" t="s">
        <v>35</v>
      </c>
      <c r="C160" s="39">
        <v>0.2</v>
      </c>
      <c r="D160" s="40">
        <v>0.2</v>
      </c>
      <c r="E160" s="40">
        <v>0.2</v>
      </c>
      <c r="F160" s="40">
        <v>0.2</v>
      </c>
      <c r="G160" s="41">
        <v>0.2</v>
      </c>
      <c r="H160" s="17" t="s">
        <v>7</v>
      </c>
      <c r="I160" s="17" t="s">
        <v>7</v>
      </c>
      <c r="J160" s="11"/>
      <c r="K160" s="10"/>
      <c r="L160" s="10"/>
      <c r="M160" s="10"/>
      <c r="N160" s="12"/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B161" s="43"/>
      <c r="C161" s="39">
        <v>0.2</v>
      </c>
      <c r="D161" s="40">
        <v>0.2</v>
      </c>
      <c r="E161" s="40">
        <v>0.2</v>
      </c>
      <c r="F161" s="40">
        <v>0.2</v>
      </c>
      <c r="G161" s="41">
        <v>0.2</v>
      </c>
      <c r="H161" s="2"/>
      <c r="I161" s="2"/>
      <c r="J161" s="11"/>
      <c r="K161" s="10"/>
      <c r="L161" s="10"/>
      <c r="M161" s="10"/>
      <c r="N161" s="1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B162" s="42"/>
      <c r="C162" s="44">
        <v>0.2</v>
      </c>
      <c r="D162" s="45">
        <v>0.2</v>
      </c>
      <c r="E162" s="45">
        <v>0.2</v>
      </c>
      <c r="F162" s="45">
        <v>0.2</v>
      </c>
      <c r="G162" s="46">
        <v>0.2</v>
      </c>
      <c r="H162" s="2"/>
      <c r="I162" s="2"/>
      <c r="J162" s="13"/>
      <c r="K162" s="14"/>
      <c r="L162" s="14"/>
      <c r="M162" s="14"/>
      <c r="N162" s="15"/>
      <c r="O162" s="3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4" t="s">
        <v>36</v>
      </c>
      <c r="AA164" s="4"/>
      <c r="AB164" s="4"/>
      <c r="AC164" s="4"/>
      <c r="AD164" s="4"/>
      <c r="AE164" s="4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I167" s="6" t="s">
        <v>4</v>
      </c>
      <c r="J167" s="7">
        <f t="array" ref="J167:N171">$C$21:$G$25</f>
        <v>0.3917166805</v>
      </c>
      <c r="K167" s="8">
        <v>-1.150625766578016</v>
      </c>
      <c r="L167" s="8">
        <v>-1.1937426218120877</v>
      </c>
      <c r="M167" s="8">
        <v>-0.12233600937092895</v>
      </c>
      <c r="N167" s="9">
        <v>-1.7212039247354565</v>
      </c>
      <c r="O167" s="3"/>
      <c r="P167" s="6" t="s">
        <v>10</v>
      </c>
      <c r="Q167" s="7">
        <f t="array" ref="Q167:U171">$C$36:$G$40</f>
        <v>0.5574790455</v>
      </c>
      <c r="R167" s="8">
        <v>1.0600477647492752</v>
      </c>
      <c r="S167" s="8">
        <v>-0.1689002895155466</v>
      </c>
      <c r="T167" s="8">
        <v>1.1026080481396698</v>
      </c>
      <c r="U167" s="9">
        <v>-1.0486994904789204</v>
      </c>
      <c r="V167" s="2"/>
    </row>
    <row r="168">
      <c r="I168" s="1"/>
      <c r="J168" s="11">
        <v>-0.991282059442217</v>
      </c>
      <c r="K168" s="10">
        <v>0.3641122714277865</v>
      </c>
      <c r="L168" s="10">
        <v>-1.0492779849136413</v>
      </c>
      <c r="M168" s="10">
        <v>-1.3024459049991262</v>
      </c>
      <c r="N168" s="12">
        <v>1.1148670249705308</v>
      </c>
      <c r="O168" s="3"/>
      <c r="P168" s="2"/>
      <c r="Q168" s="11">
        <v>0.36861371977300533</v>
      </c>
      <c r="R168" s="10">
        <v>-0.823047112859939</v>
      </c>
      <c r="S168" s="10">
        <v>-1.1569346658238164</v>
      </c>
      <c r="T168" s="10">
        <v>0.7892991900195114</v>
      </c>
      <c r="U168" s="12">
        <v>0.13202477409525418</v>
      </c>
      <c r="V168" s="2"/>
    </row>
    <row r="169">
      <c r="I169" s="1"/>
      <c r="J169" s="11">
        <v>1.6795853612624163</v>
      </c>
      <c r="K169" s="10">
        <v>-0.4127089744117001</v>
      </c>
      <c r="L169" s="10">
        <v>-1.0831141070463501</v>
      </c>
      <c r="M169" s="10">
        <v>2.5959037123472877</v>
      </c>
      <c r="N169" s="12">
        <v>-0.24974489582261675</v>
      </c>
      <c r="O169" s="3"/>
      <c r="P169" s="2"/>
      <c r="Q169" s="11">
        <v>0.5007293638525051</v>
      </c>
      <c r="R169" s="10">
        <v>0.8935693026485871</v>
      </c>
      <c r="S169" s="10">
        <v>-1.1333264737924036</v>
      </c>
      <c r="T169" s="10">
        <v>0.16396498403161142</v>
      </c>
      <c r="U169" s="12">
        <v>-0.567355511626876</v>
      </c>
      <c r="V169" s="2"/>
    </row>
    <row r="170">
      <c r="I170" s="1"/>
      <c r="J170" s="11">
        <v>-0.7767467784700064</v>
      </c>
      <c r="K170" s="10">
        <v>0.5546810987546725</v>
      </c>
      <c r="L170" s="10">
        <v>0.5732810752958135</v>
      </c>
      <c r="M170" s="10">
        <v>-0.2004186610994508</v>
      </c>
      <c r="N170" s="12">
        <v>1.0899655504040369</v>
      </c>
      <c r="O170" s="3"/>
      <c r="P170" s="2"/>
      <c r="Q170" s="11">
        <v>-1.5490160552602832</v>
      </c>
      <c r="R170" s="10">
        <v>0.3866865215722539</v>
      </c>
      <c r="S170" s="10">
        <v>-0.9297244402032467</v>
      </c>
      <c r="T170" s="10">
        <v>-0.20672472467479253</v>
      </c>
      <c r="U170" s="12">
        <v>-0.6216222098481106</v>
      </c>
      <c r="V170" s="2"/>
    </row>
    <row r="171">
      <c r="I171" s="1"/>
      <c r="J171" s="13">
        <v>-1.3499188588885502</v>
      </c>
      <c r="K171" s="14">
        <v>1.6128607742530172</v>
      </c>
      <c r="L171" s="14">
        <v>-0.5725014232290118</v>
      </c>
      <c r="M171" s="14">
        <v>-1.9981827418865012</v>
      </c>
      <c r="N171" s="15">
        <v>-0.11364800668093636</v>
      </c>
      <c r="O171" s="3"/>
      <c r="P171" s="2"/>
      <c r="Q171" s="13">
        <v>0.6758094817839844</v>
      </c>
      <c r="R171" s="14">
        <v>-1.1383337968991176</v>
      </c>
      <c r="S171" s="14">
        <v>-0.1636308404430194</v>
      </c>
      <c r="T171" s="14">
        <v>-2.3937656425313225</v>
      </c>
      <c r="U171" s="15">
        <v>-0.7920481323302475</v>
      </c>
      <c r="V171" s="2"/>
    </row>
    <row r="172">
      <c r="I172" s="1"/>
      <c r="J172" s="2"/>
      <c r="K172" s="2"/>
      <c r="L172" s="21" t="s">
        <v>3</v>
      </c>
      <c r="M172" s="2"/>
      <c r="N172" s="2"/>
      <c r="O172" s="3"/>
      <c r="P172" s="2"/>
      <c r="Q172" s="2"/>
      <c r="R172" s="2"/>
      <c r="S172" s="21" t="s">
        <v>3</v>
      </c>
      <c r="T172" s="2"/>
      <c r="U172" s="2"/>
      <c r="V172" s="2"/>
      <c r="W172" s="2"/>
      <c r="X172" s="2"/>
      <c r="Y172" s="2"/>
      <c r="AA172" s="2"/>
      <c r="AB172" s="2"/>
      <c r="AC172" s="2"/>
      <c r="AD172" s="2"/>
      <c r="AE172" s="2"/>
    </row>
    <row r="173">
      <c r="I173" s="1"/>
      <c r="J173" s="2"/>
      <c r="K173" s="2"/>
      <c r="L173" s="21" t="s">
        <v>3</v>
      </c>
      <c r="M173" s="2"/>
      <c r="N173" s="2"/>
      <c r="O173" s="3"/>
      <c r="P173" s="2"/>
      <c r="Q173" s="2"/>
      <c r="R173" s="2"/>
      <c r="S173" s="21" t="s">
        <v>3</v>
      </c>
      <c r="T173" s="2"/>
      <c r="U173" s="2"/>
      <c r="V173" s="2"/>
      <c r="W173" s="2"/>
      <c r="X173" s="2"/>
      <c r="Y173" s="2"/>
      <c r="AA173" s="2"/>
      <c r="AB173" s="2"/>
      <c r="AC173" s="2"/>
      <c r="AD173" s="2"/>
      <c r="AE173" s="2"/>
    </row>
    <row r="174">
      <c r="B174" s="6" t="s">
        <v>1</v>
      </c>
      <c r="C174" s="7">
        <f t="array" ref="C174:G178">$J$14:$N$18</f>
        <v>0.6765098384</v>
      </c>
      <c r="D174" s="8">
        <v>0.3900435706539263</v>
      </c>
      <c r="E174" s="8">
        <v>0.6560576379180516</v>
      </c>
      <c r="F174" s="8">
        <v>0.6484830075375</v>
      </c>
      <c r="G174" s="9">
        <v>-0.6153617510774058</v>
      </c>
      <c r="I174" s="6" t="s">
        <v>5</v>
      </c>
      <c r="J174" s="10">
        <f t="array" ref="J174:N178">MMULT(J167:N171,C174:G178)</f>
        <v>2.279710376</v>
      </c>
      <c r="K174" s="10">
        <v>1.3424470570582077</v>
      </c>
      <c r="L174" s="10">
        <v>1.0158668422520698</v>
      </c>
      <c r="M174" s="10">
        <v>-0.6491226976578691</v>
      </c>
      <c r="N174" s="10">
        <v>0.4820648204206155</v>
      </c>
      <c r="O174" s="3"/>
      <c r="P174" s="6" t="s">
        <v>11</v>
      </c>
      <c r="Q174" s="10">
        <f t="array" ref="Q174:U178">MMULT(Q167:U171,C174:G178)</f>
        <v>4.017603751</v>
      </c>
      <c r="R174" s="10">
        <v>-0.5763261666069246</v>
      </c>
      <c r="S174" s="10">
        <v>0.619007537152171</v>
      </c>
      <c r="T174" s="10">
        <v>-1.056452319168487</v>
      </c>
      <c r="U174" s="10">
        <v>1.7082165583893854</v>
      </c>
      <c r="V174" s="2"/>
    </row>
    <row r="175">
      <c r="B175" s="6" t="s">
        <v>2</v>
      </c>
      <c r="C175" s="11">
        <v>0.8287031585550959</v>
      </c>
      <c r="D175" s="10">
        <v>-0.5813004796044884</v>
      </c>
      <c r="E175" s="10">
        <v>0.30989795018561683</v>
      </c>
      <c r="F175" s="10">
        <v>0.18504368281388203</v>
      </c>
      <c r="G175" s="12">
        <v>0.5926404808432721</v>
      </c>
      <c r="I175" s="1"/>
      <c r="J175" s="10">
        <v>-4.399646626215902</v>
      </c>
      <c r="K175" s="10">
        <v>-0.3877446372699891</v>
      </c>
      <c r="L175" s="10">
        <v>0.24373068837860473</v>
      </c>
      <c r="M175" s="10">
        <v>0.8840682389708849</v>
      </c>
      <c r="N175" s="10">
        <v>-1.2271163722578649</v>
      </c>
      <c r="O175" s="3"/>
      <c r="P175" s="1"/>
      <c r="Q175" s="10">
        <v>-1.4001901035233126</v>
      </c>
      <c r="R175" s="10">
        <v>0.20865845528077082</v>
      </c>
      <c r="S175" s="10">
        <v>0.2577360280456287</v>
      </c>
      <c r="T175" s="10">
        <v>-1.1899493398432173</v>
      </c>
      <c r="U175" s="10">
        <v>-1.1086923026351105</v>
      </c>
      <c r="V175" s="2"/>
    </row>
    <row r="176">
      <c r="B176" s="1"/>
      <c r="C176" s="11">
        <v>0.8474363202816402</v>
      </c>
      <c r="D176" s="10">
        <v>0.028253217432117755</v>
      </c>
      <c r="E176" s="10">
        <v>-0.5292973525455772</v>
      </c>
      <c r="F176" s="10">
        <v>0.3329222659064594</v>
      </c>
      <c r="G176" s="12">
        <v>0.40900880798366646</v>
      </c>
      <c r="H176" s="21" t="s">
        <v>7</v>
      </c>
      <c r="I176" s="21"/>
      <c r="J176" s="10">
        <v>1.5202116087416417</v>
      </c>
      <c r="K176" s="10">
        <v>-0.18894125364560976</v>
      </c>
      <c r="L176" s="10">
        <v>0.5976888342289222</v>
      </c>
      <c r="M176" s="10">
        <v>-2.4531960450328243</v>
      </c>
      <c r="N176" s="10">
        <v>-0.6946598053555073</v>
      </c>
      <c r="O176" s="3"/>
      <c r="P176" s="1"/>
      <c r="Q176" s="10">
        <v>1.5140492941094021</v>
      </c>
      <c r="R176" s="10">
        <v>-0.26198102546884244</v>
      </c>
      <c r="S176" s="10">
        <v>1.2849915932967135</v>
      </c>
      <c r="T176" s="10">
        <v>-0.22316908073143513</v>
      </c>
      <c r="U176" s="10">
        <v>0.4407291480532236</v>
      </c>
      <c r="V176" s="2"/>
    </row>
    <row r="177">
      <c r="B177" s="1"/>
      <c r="C177" s="11">
        <v>0.4079979777424646</v>
      </c>
      <c r="D177" s="10">
        <v>-0.4338066277135132</v>
      </c>
      <c r="E177" s="10">
        <v>-0.390173608911219</v>
      </c>
      <c r="F177" s="10">
        <v>-1.1718958664913244</v>
      </c>
      <c r="G177" s="12">
        <v>0.2876326565106208</v>
      </c>
      <c r="I177" s="1"/>
      <c r="J177" s="10">
        <v>-2.2136454303465056</v>
      </c>
      <c r="K177" s="10">
        <v>-0.8398136572968076</v>
      </c>
      <c r="L177" s="10">
        <v>-0.8389570265764256</v>
      </c>
      <c r="M177" s="10">
        <v>0.3008688715680228</v>
      </c>
      <c r="N177" s="10">
        <v>-0.23767447733870084</v>
      </c>
      <c r="O177" s="3"/>
      <c r="P177" s="1"/>
      <c r="Q177" s="10">
        <v>-0.1443279202438965</v>
      </c>
      <c r="R177" s="10">
        <v>-0.5844496395953492</v>
      </c>
      <c r="S177" s="10">
        <v>-0.16623165947839305</v>
      </c>
      <c r="T177" s="10">
        <v>-1.1577479336772525</v>
      </c>
      <c r="U177" s="10">
        <v>1.4391184816012799</v>
      </c>
      <c r="V177" s="2"/>
    </row>
    <row r="178">
      <c r="B178" s="1"/>
      <c r="C178" s="13">
        <v>-2.3412513971915225</v>
      </c>
      <c r="D178" s="14">
        <v>-0.29134146473670164</v>
      </c>
      <c r="E178" s="14">
        <v>-0.25323995067290805</v>
      </c>
      <c r="F178" s="14">
        <v>0.25340974314570663</v>
      </c>
      <c r="G178" s="15">
        <v>-1.1204127185943555</v>
      </c>
      <c r="I178" s="1"/>
      <c r="J178" s="10">
        <v>-0.6109850340691301</v>
      </c>
      <c r="K178" s="10">
        <v>-0.5803236270692403</v>
      </c>
      <c r="L178" s="10">
        <v>0.7256395448479596</v>
      </c>
      <c r="M178" s="10">
        <v>1.545314368463169</v>
      </c>
      <c r="N178" s="10">
        <v>1.1049669548065084</v>
      </c>
      <c r="O178" s="3"/>
      <c r="P178" s="1"/>
      <c r="Q178" s="10">
        <v>0.2529164881626229</v>
      </c>
      <c r="R178" s="10">
        <v>2.189873891668671</v>
      </c>
      <c r="S178" s="10">
        <v>1.3117744422530841</v>
      </c>
      <c r="T178" s="10">
        <v>2.777664485106008</v>
      </c>
      <c r="U178" s="10">
        <v>-0.9585208194821354</v>
      </c>
      <c r="V178" s="2"/>
    </row>
    <row r="179">
      <c r="N179" s="21" t="s">
        <v>3</v>
      </c>
      <c r="O179" s="3"/>
      <c r="R179" s="67" t="s">
        <v>3</v>
      </c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N180" s="21" t="s">
        <v>3</v>
      </c>
      <c r="O180" s="3"/>
      <c r="P180" s="2"/>
      <c r="Q180" s="2"/>
      <c r="R180" s="67" t="s">
        <v>3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68" t="s">
        <v>22</v>
      </c>
      <c r="N181" s="69">
        <f t="array" ref="N181:R185">MMULT(TRANSPOSE(Q174:U178),J174:N178) / 5^0.5</f>
        <v>7.954119806</v>
      </c>
      <c r="O181" s="70">
        <v>2.5154446849374</v>
      </c>
      <c r="P181" s="71">
        <v>2.213538530107323</v>
      </c>
      <c r="Q181" s="72">
        <v>-3.225585935831131</v>
      </c>
      <c r="R181" s="73">
        <v>1.3045041104881272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74"/>
      <c r="N182" s="75">
        <v>-1.1960113618980015</v>
      </c>
      <c r="O182" s="76">
        <v>-0.7088788561853956</v>
      </c>
      <c r="P182" s="77">
        <v>0.6208174045122045</v>
      </c>
      <c r="Q182" s="78">
        <v>1.9719733279101297</v>
      </c>
      <c r="R182" s="79">
        <v>0.9868930559263899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0">
        <v>0.8037201977719358</v>
      </c>
      <c r="O183" s="81">
        <v>-0.05965333987289959</v>
      </c>
      <c r="P183" s="82">
        <v>1.1408459817285785</v>
      </c>
      <c r="Q183" s="83">
        <v>-0.6033814499894231</v>
      </c>
      <c r="R183" s="84">
        <v>0.2587014736902962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43"/>
      <c r="N184" s="85">
        <v>1.4996945908766588</v>
      </c>
      <c r="O184" s="86">
        <v>-0.6951133882169779</v>
      </c>
      <c r="P184" s="87">
        <v>0.6664628494185135</v>
      </c>
      <c r="Q184" s="72">
        <v>1.8448825505299893</v>
      </c>
      <c r="R184" s="88">
        <v>1.9902565830413403</v>
      </c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89">
        <v>3.059852751220225</v>
      </c>
      <c r="O185" s="90">
        <v>0.8888230643570914</v>
      </c>
      <c r="P185" s="91">
        <v>-0.07798602793088472</v>
      </c>
      <c r="Q185" s="92">
        <v>-1.886537832795729</v>
      </c>
      <c r="R185" s="93">
        <v>0.21315684560996198</v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B186" s="6"/>
      <c r="C186" s="21"/>
      <c r="D186" s="21"/>
      <c r="E186" s="21"/>
      <c r="F186" s="21"/>
      <c r="G186" s="21"/>
      <c r="I186" s="2"/>
      <c r="J186" s="2"/>
      <c r="K186" s="2"/>
      <c r="M186" s="74"/>
      <c r="N186" s="94"/>
      <c r="O186" s="95"/>
      <c r="P186" s="43" t="s">
        <v>3</v>
      </c>
      <c r="Q186" s="94"/>
      <c r="R186" s="94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B187" s="6"/>
      <c r="C187" s="21"/>
      <c r="D187" s="21"/>
      <c r="E187" s="21"/>
      <c r="F187" s="21"/>
      <c r="G187" s="21"/>
      <c r="I187" s="2"/>
      <c r="J187" s="2"/>
      <c r="K187" s="2"/>
      <c r="M187" s="74"/>
      <c r="N187" s="94"/>
      <c r="O187" s="95"/>
      <c r="P187" s="43" t="s">
        <v>3</v>
      </c>
      <c r="Q187" s="94"/>
      <c r="R187" s="94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D188" s="34" t="s">
        <v>28</v>
      </c>
      <c r="E188" s="49">
        <v>0.0</v>
      </c>
      <c r="F188" s="50">
        <v>-99.0</v>
      </c>
      <c r="G188" s="50">
        <v>-99.0</v>
      </c>
      <c r="H188" s="50">
        <v>-99.0</v>
      </c>
      <c r="I188" s="51">
        <v>-99.0</v>
      </c>
      <c r="J188" s="42"/>
      <c r="K188" s="42"/>
      <c r="M188" s="34" t="s">
        <v>37</v>
      </c>
      <c r="N188" s="96">
        <f t="shared" ref="N188:R188" si="26">EXP(N181+E188)/SUMPRODUCT(EXP($N181:$R181+$E188:$I188))
</f>
        <v>1</v>
      </c>
      <c r="O188" s="96">
        <f t="shared" si="26"/>
        <v>0</v>
      </c>
      <c r="P188" s="96">
        <f t="shared" si="26"/>
        <v>0</v>
      </c>
      <c r="Q188" s="96">
        <f t="shared" si="26"/>
        <v>0</v>
      </c>
      <c r="R188" s="96">
        <f t="shared" si="26"/>
        <v>0</v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D189" s="34" t="s">
        <v>31</v>
      </c>
      <c r="E189" s="55">
        <v>0.0</v>
      </c>
      <c r="F189" s="56">
        <v>0.0</v>
      </c>
      <c r="G189" s="57">
        <v>-99.0</v>
      </c>
      <c r="H189" s="57">
        <v>-99.0</v>
      </c>
      <c r="I189" s="58">
        <v>-99.0</v>
      </c>
      <c r="J189" s="42"/>
      <c r="K189" s="42"/>
      <c r="M189" s="34" t="s">
        <v>35</v>
      </c>
      <c r="N189" s="96">
        <f t="shared" ref="N189:R189" si="27">EXP(N182+E189)/SUMPRODUCT(EXP($N182:$R182+$E189:$I189))
</f>
        <v>0.3805693083</v>
      </c>
      <c r="O189" s="96">
        <f t="shared" si="27"/>
        <v>0.6194306917</v>
      </c>
      <c r="P189" s="96">
        <f t="shared" si="27"/>
        <v>0</v>
      </c>
      <c r="Q189" s="96">
        <f t="shared" si="27"/>
        <v>0</v>
      </c>
      <c r="R189" s="96">
        <f t="shared" si="27"/>
        <v>0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D190" s="1"/>
      <c r="E190" s="55">
        <v>0.0</v>
      </c>
      <c r="F190" s="56">
        <v>0.0</v>
      </c>
      <c r="G190" s="56">
        <v>0.0</v>
      </c>
      <c r="H190" s="57">
        <v>-99.0</v>
      </c>
      <c r="I190" s="58">
        <v>-99.0</v>
      </c>
      <c r="J190" s="67" t="s">
        <v>7</v>
      </c>
      <c r="K190" s="67" t="s">
        <v>7</v>
      </c>
      <c r="L190" s="67" t="s">
        <v>7</v>
      </c>
      <c r="M190" s="67" t="s">
        <v>7</v>
      </c>
      <c r="N190" s="96">
        <f t="shared" ref="N190:R190" si="28">EXP(N183+E190)/SUMPRODUCT(EXP($N183:$R183+$E190:$I190))
</f>
        <v>0.3542767331</v>
      </c>
      <c r="O190" s="96">
        <f t="shared" si="28"/>
        <v>0.1494115833</v>
      </c>
      <c r="P190" s="96">
        <f t="shared" si="28"/>
        <v>0.4963116836</v>
      </c>
      <c r="Q190" s="96">
        <f t="shared" si="28"/>
        <v>0</v>
      </c>
      <c r="R190" s="96">
        <f t="shared" si="28"/>
        <v>0</v>
      </c>
      <c r="S190" s="2"/>
      <c r="T190" s="2"/>
      <c r="U190" s="2"/>
      <c r="V190" s="21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D191" s="1"/>
      <c r="E191" s="55">
        <v>0.0</v>
      </c>
      <c r="F191" s="56">
        <v>0.0</v>
      </c>
      <c r="G191" s="56">
        <v>0.0</v>
      </c>
      <c r="H191" s="56">
        <v>0.0</v>
      </c>
      <c r="I191" s="58">
        <v>-99.0</v>
      </c>
      <c r="J191" s="2"/>
      <c r="K191" s="2"/>
      <c r="M191" s="94"/>
      <c r="N191" s="96">
        <f t="shared" ref="N191:R191" si="29">EXP(N184+E191)/SUMPRODUCT(EXP($N184:$R184+$E191:$I191))
</f>
        <v>0.3380345316</v>
      </c>
      <c r="O191" s="96">
        <f t="shared" si="29"/>
        <v>0.03765026812</v>
      </c>
      <c r="P191" s="96">
        <f t="shared" si="29"/>
        <v>0.1469241274</v>
      </c>
      <c r="Q191" s="96">
        <f t="shared" si="29"/>
        <v>0.4773910729</v>
      </c>
      <c r="R191" s="96">
        <f t="shared" si="29"/>
        <v>0</v>
      </c>
      <c r="S191" s="2"/>
      <c r="T191" s="2"/>
      <c r="U191" s="21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D192" s="1"/>
      <c r="E192" s="62">
        <v>0.0</v>
      </c>
      <c r="F192" s="63">
        <v>0.0</v>
      </c>
      <c r="G192" s="63">
        <v>0.0</v>
      </c>
      <c r="H192" s="63">
        <v>0.0</v>
      </c>
      <c r="I192" s="64">
        <v>0.0</v>
      </c>
      <c r="J192" s="2"/>
      <c r="K192" s="2"/>
      <c r="M192" s="42"/>
      <c r="N192" s="96">
        <f t="shared" ref="N192:R192" si="30">EXP(N185+E192)/SUMPRODUCT(EXP($N185:$R185+$E192:$I192))
</f>
        <v>0.8179414909</v>
      </c>
      <c r="O192" s="96">
        <f t="shared" si="30"/>
        <v>0.09329449661</v>
      </c>
      <c r="P192" s="96">
        <f t="shared" si="30"/>
        <v>0.03547939225</v>
      </c>
      <c r="Q192" s="96">
        <f t="shared" si="30"/>
        <v>0.005814764131</v>
      </c>
      <c r="R192" s="96">
        <f t="shared" si="30"/>
        <v>0.04746985611</v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M193" s="42"/>
      <c r="N193" s="42"/>
      <c r="O193" s="97"/>
      <c r="P193" s="42"/>
      <c r="Q193" s="98" t="s">
        <v>3</v>
      </c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M194" s="42"/>
      <c r="N194" s="42"/>
      <c r="O194" s="97"/>
      <c r="P194" s="42"/>
      <c r="Q194" s="98" t="s">
        <v>3</v>
      </c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</row>
    <row r="195">
      <c r="B195" s="6" t="s">
        <v>14</v>
      </c>
      <c r="C195" s="7">
        <f t="array" ref="C195:G199">$C$51:$G$55</f>
        <v>0.8649891259</v>
      </c>
      <c r="D195" s="8">
        <v>0.6084154713564791</v>
      </c>
      <c r="E195" s="8">
        <v>-0.14144969586612424</v>
      </c>
      <c r="F195" s="8">
        <v>-1.1046741402509015</v>
      </c>
      <c r="G195" s="9">
        <v>-0.0272996647132129</v>
      </c>
      <c r="H195" s="6" t="s">
        <v>15</v>
      </c>
      <c r="I195" s="10">
        <f t="array" ref="I195:M199">MMULT(C195:G199,C174:G178)</f>
        <v>0.5827104297</v>
      </c>
      <c r="J195" s="10">
        <v>0.4668833207258894</v>
      </c>
      <c r="K195" s="10">
        <v>1.2688264414310946</v>
      </c>
      <c r="L195" s="10">
        <v>1.9140674938247968</v>
      </c>
      <c r="M195" s="10">
        <v>-0.5167172231333144</v>
      </c>
      <c r="O195" s="66" t="s">
        <v>38</v>
      </c>
      <c r="P195" s="10">
        <f t="array" ref="P195:T199">MMULT(I195:M199,N188:R192)</f>
        <v>1.434284032</v>
      </c>
      <c r="Q195" s="10">
        <v>0.5026375070109038</v>
      </c>
      <c r="R195" s="10">
        <v>0.8926232705234507</v>
      </c>
      <c r="S195" s="10">
        <v>0.9107541457439987</v>
      </c>
      <c r="T195" s="10">
        <v>-0.024528492232533065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B196" s="2"/>
      <c r="C196" s="11">
        <v>0.19061973817189726</v>
      </c>
      <c r="D196" s="10">
        <v>-1.935452677960356</v>
      </c>
      <c r="E196" s="10">
        <v>0.5979906136291926</v>
      </c>
      <c r="F196" s="10">
        <v>1.0620107665100718</v>
      </c>
      <c r="G196" s="12">
        <v>0.0692363669256579</v>
      </c>
      <c r="H196" s="1"/>
      <c r="I196" s="10">
        <v>-0.6970021497341776</v>
      </c>
      <c r="J196" s="10">
        <v>0.7354459983247145</v>
      </c>
      <c r="K196" s="10">
        <v>-1.223152118673431</v>
      </c>
      <c r="L196" s="10">
        <v>-1.2624660977392905</v>
      </c>
      <c r="M196" s="10">
        <v>-0.7918486015999021</v>
      </c>
      <c r="O196" s="66" t="s">
        <v>39</v>
      </c>
      <c r="P196" s="10">
        <v>-1.9248912733044719</v>
      </c>
      <c r="Q196" s="10">
        <v>0.1513974249939533</v>
      </c>
      <c r="R196" s="10">
        <v>-0.8206457241601832</v>
      </c>
      <c r="S196" s="10">
        <v>-0.6072944577712522</v>
      </c>
      <c r="T196" s="10">
        <v>-0.037588939180133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B197" s="2"/>
      <c r="C197" s="11">
        <v>-1.8073655463362142</v>
      </c>
      <c r="D197" s="10">
        <v>-2.3637944155319563</v>
      </c>
      <c r="E197" s="10">
        <v>0.3875837273417469</v>
      </c>
      <c r="F197" s="10">
        <v>-0.7958256593261606</v>
      </c>
      <c r="G197" s="12">
        <v>0.2891399866709736</v>
      </c>
      <c r="H197" s="67" t="s">
        <v>7</v>
      </c>
      <c r="I197" s="10">
        <v>-3.8547766017871266</v>
      </c>
      <c r="J197" s="10">
        <v>0.9410699818765061</v>
      </c>
      <c r="K197" s="10">
        <v>-1.886129682387785</v>
      </c>
      <c r="L197" s="10">
        <v>-0.4745201261700951</v>
      </c>
      <c r="M197" s="10">
        <v>-0.683033040322822</v>
      </c>
      <c r="N197" s="67" t="s">
        <v>7</v>
      </c>
      <c r="O197" s="97" t="s">
        <v>7</v>
      </c>
      <c r="P197" s="10">
        <v>-4.8839313637299835</v>
      </c>
      <c r="Q197" s="10">
        <v>0.21952897395438364</v>
      </c>
      <c r="R197" s="10">
        <v>-1.030060250694196</v>
      </c>
      <c r="S197" s="10">
        <v>-0.2305033481779218</v>
      </c>
      <c r="T197" s="10">
        <v>-0.0324234801436051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B198" s="2"/>
      <c r="C198" s="11">
        <v>0.3427735398177843</v>
      </c>
      <c r="D198" s="10">
        <v>-0.5933489441510174</v>
      </c>
      <c r="E198" s="10">
        <v>-0.47818768706641773</v>
      </c>
      <c r="F198" s="10">
        <v>1.0526702774343972</v>
      </c>
      <c r="G198" s="12">
        <v>0.35806709633725803</v>
      </c>
      <c r="H198" s="1"/>
      <c r="I198" s="10">
        <v>-1.0738918311984607</v>
      </c>
      <c r="J198" s="10">
        <v>-0.09587483496101011</v>
      </c>
      <c r="K198" s="10">
        <v>-0.2072960008335793</v>
      </c>
      <c r="L198" s="10">
        <v>-1.189594242112734</v>
      </c>
      <c r="M198" s="10">
        <v>-0.8565558856524678</v>
      </c>
      <c r="O198" s="3"/>
      <c r="P198" s="10">
        <v>-2.2865555313368255</v>
      </c>
      <c r="Q198" s="10">
        <v>-0.21506073138078535</v>
      </c>
      <c r="R198" s="10">
        <v>-0.3080536053748332</v>
      </c>
      <c r="S198" s="10">
        <v>-0.5728823420223258</v>
      </c>
      <c r="T198" s="10">
        <v>-0.040660584643481865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B199" s="2"/>
      <c r="C199" s="13">
        <v>0.259081847122278</v>
      </c>
      <c r="D199" s="14">
        <v>0.29132998712961317</v>
      </c>
      <c r="E199" s="14">
        <v>-0.7693673808610827</v>
      </c>
      <c r="F199" s="14">
        <v>1.1747703070089122</v>
      </c>
      <c r="G199" s="15">
        <v>-0.46287901732310205</v>
      </c>
      <c r="H199" s="1"/>
      <c r="I199" s="10">
        <v>1.3277276924821497</v>
      </c>
      <c r="J199" s="10">
        <v>-0.4648014507137799</v>
      </c>
      <c r="K199" s="10">
        <v>0.3263343975012711</v>
      </c>
      <c r="L199" s="10">
        <v>-1.5282271023458522</v>
      </c>
      <c r="M199" s="10">
        <v>0.555064691565549</v>
      </c>
      <c r="O199" s="3"/>
      <c r="P199" s="10">
        <v>1.2038681188091849</v>
      </c>
      <c r="Q199" s="10">
        <v>-0.24490782425981233</v>
      </c>
      <c r="R199" s="10">
        <v>-0.04287650130540294</v>
      </c>
      <c r="S199" s="10">
        <v>-0.7263344057958879</v>
      </c>
      <c r="T199" s="10">
        <v>0.026348841041256045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4" t="s">
        <v>40</v>
      </c>
      <c r="AA201" s="4"/>
      <c r="AB201" s="4"/>
      <c r="AC201" s="4"/>
      <c r="AD201" s="4"/>
      <c r="AE201" s="4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B203" s="1"/>
      <c r="C203" s="2"/>
      <c r="D203" s="2"/>
      <c r="E203" s="2"/>
      <c r="F203" s="2"/>
      <c r="G203" s="2"/>
      <c r="H203" s="2"/>
      <c r="L203" s="6" t="s">
        <v>1</v>
      </c>
      <c r="M203" s="7">
        <f t="array" ref="M203:Q207">$J$14:$N$18</f>
        <v>0.6765098384</v>
      </c>
      <c r="N203" s="8">
        <v>0.3900435706539263</v>
      </c>
      <c r="O203" s="8">
        <v>0.6560576379180516</v>
      </c>
      <c r="P203" s="8">
        <v>0.6484830075375</v>
      </c>
      <c r="Q203" s="9">
        <v>-0.6153617510774058</v>
      </c>
      <c r="U203" s="2"/>
      <c r="X203" s="34" t="s">
        <v>28</v>
      </c>
      <c r="Y203" s="49">
        <v>0.0</v>
      </c>
      <c r="Z203" s="50">
        <v>-99.0</v>
      </c>
      <c r="AA203" s="50">
        <v>-99.0</v>
      </c>
      <c r="AB203" s="50">
        <v>-99.0</v>
      </c>
      <c r="AC203" s="51">
        <v>-99.0</v>
      </c>
      <c r="AD203" s="57"/>
      <c r="AE203" s="57"/>
    </row>
    <row r="204">
      <c r="B204" s="1"/>
      <c r="C204" s="2"/>
      <c r="D204" s="2"/>
      <c r="E204" s="2"/>
      <c r="F204" s="2"/>
      <c r="G204" s="2"/>
      <c r="H204" s="2"/>
      <c r="L204" s="6" t="s">
        <v>2</v>
      </c>
      <c r="M204" s="11">
        <v>0.8287031585550959</v>
      </c>
      <c r="N204" s="10">
        <v>-0.5813004796044884</v>
      </c>
      <c r="O204" s="10">
        <v>0.30989795018561683</v>
      </c>
      <c r="P204" s="10">
        <v>0.18504368281388203</v>
      </c>
      <c r="Q204" s="12">
        <v>0.5926404808432721</v>
      </c>
      <c r="U204" s="2"/>
      <c r="X204" s="34" t="s">
        <v>31</v>
      </c>
      <c r="Y204" s="55">
        <v>0.0</v>
      </c>
      <c r="Z204" s="56">
        <v>0.0</v>
      </c>
      <c r="AA204" s="57">
        <v>-99.0</v>
      </c>
      <c r="AB204" s="57">
        <v>-99.0</v>
      </c>
      <c r="AC204" s="58">
        <v>-99.0</v>
      </c>
      <c r="AD204" s="57"/>
      <c r="AE204" s="57"/>
    </row>
    <row r="205">
      <c r="B205" s="1"/>
      <c r="C205" s="2"/>
      <c r="D205" s="2"/>
      <c r="E205" s="2"/>
      <c r="F205" s="2"/>
      <c r="G205" s="2"/>
      <c r="H205" s="2"/>
      <c r="I205" s="99" t="s">
        <v>41</v>
      </c>
      <c r="J205" s="99" t="s">
        <v>41</v>
      </c>
      <c r="K205" s="99" t="s">
        <v>41</v>
      </c>
      <c r="L205" s="99" t="s">
        <v>41</v>
      </c>
      <c r="M205" s="11">
        <v>0.8474363202816402</v>
      </c>
      <c r="N205" s="10">
        <v>0.028253217432117755</v>
      </c>
      <c r="O205" s="10">
        <v>-0.5292973525455772</v>
      </c>
      <c r="P205" s="10">
        <v>0.3329222659064594</v>
      </c>
      <c r="Q205" s="12">
        <v>0.40900880798366646</v>
      </c>
      <c r="R205" s="100" t="s">
        <v>7</v>
      </c>
      <c r="S205" s="100" t="s">
        <v>7</v>
      </c>
      <c r="T205" s="100" t="s">
        <v>7</v>
      </c>
      <c r="U205" s="100" t="s">
        <v>7</v>
      </c>
      <c r="X205" s="42"/>
      <c r="Y205" s="55">
        <v>0.0</v>
      </c>
      <c r="Z205" s="56">
        <v>0.0</v>
      </c>
      <c r="AA205" s="56">
        <v>0.0</v>
      </c>
      <c r="AB205" s="57">
        <v>-99.0</v>
      </c>
      <c r="AC205" s="58">
        <v>-99.0</v>
      </c>
      <c r="AD205" s="57"/>
      <c r="AE205" s="57"/>
    </row>
    <row r="206">
      <c r="B206" s="1"/>
      <c r="C206" s="2"/>
      <c r="D206" s="2"/>
      <c r="E206" s="2"/>
      <c r="F206" s="2"/>
      <c r="G206" s="2"/>
      <c r="H206" s="2"/>
      <c r="I206" s="21" t="s">
        <v>3</v>
      </c>
      <c r="L206" s="1"/>
      <c r="M206" s="11">
        <v>0.4079979777424646</v>
      </c>
      <c r="N206" s="10">
        <v>-0.4338066277135132</v>
      </c>
      <c r="O206" s="10">
        <v>-0.390173608911219</v>
      </c>
      <c r="P206" s="10">
        <v>-1.1718958664913244</v>
      </c>
      <c r="Q206" s="12">
        <v>0.2876326565106208</v>
      </c>
      <c r="U206" s="21" t="s">
        <v>3</v>
      </c>
      <c r="X206" s="42"/>
      <c r="Y206" s="55">
        <v>0.0</v>
      </c>
      <c r="Z206" s="56">
        <v>0.0</v>
      </c>
      <c r="AA206" s="56">
        <v>0.0</v>
      </c>
      <c r="AB206" s="56">
        <v>0.0</v>
      </c>
      <c r="AC206" s="58">
        <v>-99.0</v>
      </c>
      <c r="AD206" s="57"/>
      <c r="AE206" s="57"/>
    </row>
    <row r="207">
      <c r="B207" s="1"/>
      <c r="C207" s="2"/>
      <c r="D207" s="2"/>
      <c r="E207" s="2"/>
      <c r="F207" s="2"/>
      <c r="G207" s="2"/>
      <c r="H207" s="2"/>
      <c r="I207" s="21" t="s">
        <v>3</v>
      </c>
      <c r="L207" s="1"/>
      <c r="M207" s="13">
        <v>-2.3412513971915225</v>
      </c>
      <c r="N207" s="14">
        <v>-0.29134146473670164</v>
      </c>
      <c r="O207" s="14">
        <v>-0.25323995067290805</v>
      </c>
      <c r="P207" s="14">
        <v>0.25340974314570663</v>
      </c>
      <c r="Q207" s="15">
        <v>-1.1204127185943555</v>
      </c>
      <c r="U207" s="21" t="s">
        <v>3</v>
      </c>
      <c r="X207" s="42"/>
      <c r="Y207" s="62">
        <v>0.0</v>
      </c>
      <c r="Z207" s="63">
        <v>0.0</v>
      </c>
      <c r="AA207" s="63">
        <v>0.0</v>
      </c>
      <c r="AB207" s="63">
        <v>0.0</v>
      </c>
      <c r="AC207" s="64">
        <v>0.0</v>
      </c>
      <c r="AD207" s="56"/>
      <c r="AE207" s="56"/>
    </row>
    <row r="208">
      <c r="B208" s="1"/>
      <c r="C208" s="2"/>
      <c r="D208" s="2"/>
      <c r="E208" s="2"/>
      <c r="F208" s="2"/>
      <c r="G208" s="2"/>
      <c r="H208" s="2"/>
      <c r="I208" s="21" t="s">
        <v>3</v>
      </c>
      <c r="J208" s="2"/>
      <c r="K208" s="2"/>
      <c r="L208" s="2"/>
      <c r="M208" s="2"/>
      <c r="N208" s="2"/>
      <c r="O208" s="3"/>
      <c r="P208" s="2"/>
      <c r="Q208" s="2"/>
      <c r="R208" s="2"/>
      <c r="S208" s="2"/>
      <c r="T208" s="2"/>
      <c r="U208" s="21" t="s">
        <v>3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01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B210" s="66" t="s">
        <v>42</v>
      </c>
      <c r="C210" s="102">
        <f t="shared" ref="C210:G210" si="31">NORMINV(rand(),0, 1)</f>
        <v>0.3131549025</v>
      </c>
      <c r="D210" s="103">
        <f t="shared" si="31"/>
        <v>1.555221374</v>
      </c>
      <c r="E210" s="103">
        <f t="shared" si="31"/>
        <v>-0.09953384651</v>
      </c>
      <c r="F210" s="103">
        <f t="shared" si="31"/>
        <v>-1.323140283</v>
      </c>
      <c r="G210" s="104">
        <f t="shared" si="31"/>
        <v>-1.285649175</v>
      </c>
      <c r="H210" s="2"/>
      <c r="I210" s="66" t="s">
        <v>43</v>
      </c>
      <c r="J210" s="105"/>
      <c r="K210" s="106"/>
      <c r="L210" s="106"/>
      <c r="M210" s="106"/>
      <c r="N210" s="107"/>
      <c r="O210" s="101"/>
      <c r="P210" s="2"/>
      <c r="Q210" s="66" t="s">
        <v>44</v>
      </c>
      <c r="R210" s="102">
        <f t="shared" ref="R210:V210" si="32">NORMINV(rand(),0, 1)</f>
        <v>-2.059574768</v>
      </c>
      <c r="S210" s="103">
        <f t="shared" si="32"/>
        <v>0.6850271368</v>
      </c>
      <c r="T210" s="103">
        <f t="shared" si="32"/>
        <v>0.4484454068</v>
      </c>
      <c r="U210" s="103">
        <f t="shared" si="32"/>
        <v>-0.4227626575</v>
      </c>
      <c r="V210" s="104">
        <f t="shared" si="32"/>
        <v>-0.8023312776</v>
      </c>
      <c r="W210" s="2"/>
      <c r="X210" s="66" t="s">
        <v>45</v>
      </c>
      <c r="Y210" s="105"/>
      <c r="Z210" s="106"/>
      <c r="AA210" s="106"/>
      <c r="AB210" s="106"/>
      <c r="AC210" s="107"/>
      <c r="AD210" s="108"/>
      <c r="AE210" s="108"/>
    </row>
    <row r="211">
      <c r="B211" s="66" t="s">
        <v>6</v>
      </c>
      <c r="C211" s="109">
        <f t="shared" ref="C211:G211" si="33">NORMINV(rand(),0, 1)</f>
        <v>-0.05653101682</v>
      </c>
      <c r="D211" s="85">
        <f t="shared" si="33"/>
        <v>0.1433042215</v>
      </c>
      <c r="E211" s="85">
        <f t="shared" si="33"/>
        <v>1.729340793</v>
      </c>
      <c r="F211" s="85">
        <f t="shared" si="33"/>
        <v>0.2291210216</v>
      </c>
      <c r="G211" s="110">
        <f t="shared" si="33"/>
        <v>-1.097857606</v>
      </c>
      <c r="H211" s="2"/>
      <c r="I211" s="2"/>
      <c r="J211" s="111"/>
      <c r="K211" s="108"/>
      <c r="L211" s="108"/>
      <c r="M211" s="108"/>
      <c r="N211" s="112"/>
      <c r="O211" s="101"/>
      <c r="P211" s="2"/>
      <c r="Q211" s="66" t="s">
        <v>6</v>
      </c>
      <c r="R211" s="109">
        <f t="shared" ref="R211:V211" si="34">NORMINV(rand(),0, 1)</f>
        <v>0.4747478286</v>
      </c>
      <c r="S211" s="85">
        <f t="shared" si="34"/>
        <v>0.245641016</v>
      </c>
      <c r="T211" s="85">
        <f t="shared" si="34"/>
        <v>1.360834365</v>
      </c>
      <c r="U211" s="85">
        <f t="shared" si="34"/>
        <v>1.419162571</v>
      </c>
      <c r="V211" s="110">
        <f t="shared" si="34"/>
        <v>-1.589958231</v>
      </c>
      <c r="W211" s="2"/>
      <c r="X211" s="2"/>
      <c r="Y211" s="111"/>
      <c r="Z211" s="108"/>
      <c r="AA211" s="108"/>
      <c r="AB211" s="108"/>
      <c r="AC211" s="112"/>
      <c r="AD211" s="108"/>
      <c r="AE211" s="108"/>
    </row>
    <row r="212">
      <c r="B212" s="42"/>
      <c r="C212" s="109">
        <f t="shared" ref="C212:G212" si="35">NORMINV(rand(),0, 1)</f>
        <v>0.2712940672</v>
      </c>
      <c r="D212" s="85">
        <f t="shared" si="35"/>
        <v>0.5098374325</v>
      </c>
      <c r="E212" s="85">
        <f t="shared" si="35"/>
        <v>0.9128091537</v>
      </c>
      <c r="F212" s="85">
        <f t="shared" si="35"/>
        <v>-0.8178660739</v>
      </c>
      <c r="G212" s="110">
        <f t="shared" si="35"/>
        <v>0.911226831</v>
      </c>
      <c r="H212" s="67" t="s">
        <v>7</v>
      </c>
      <c r="I212" s="67" t="s">
        <v>7</v>
      </c>
      <c r="J212" s="111"/>
      <c r="K212" s="108"/>
      <c r="L212" s="108"/>
      <c r="M212" s="108"/>
      <c r="N212" s="112"/>
      <c r="O212" s="101"/>
      <c r="P212" s="2"/>
      <c r="Q212" s="42"/>
      <c r="R212" s="109">
        <f t="shared" ref="R212:V212" si="36">NORMINV(rand(),0, 1)</f>
        <v>0.05058798626</v>
      </c>
      <c r="S212" s="85">
        <f t="shared" si="36"/>
        <v>-0.8553880243</v>
      </c>
      <c r="T212" s="85">
        <f t="shared" si="36"/>
        <v>-0.9573606656</v>
      </c>
      <c r="U212" s="85">
        <f t="shared" si="36"/>
        <v>1.82478548</v>
      </c>
      <c r="V212" s="110">
        <f t="shared" si="36"/>
        <v>0.8044979158</v>
      </c>
      <c r="W212" s="67" t="s">
        <v>7</v>
      </c>
      <c r="X212" s="67" t="s">
        <v>7</v>
      </c>
      <c r="Y212" s="111"/>
      <c r="Z212" s="108"/>
      <c r="AA212" s="108"/>
      <c r="AB212" s="108"/>
      <c r="AC212" s="112"/>
      <c r="AD212" s="108"/>
      <c r="AE212" s="108"/>
    </row>
    <row r="213">
      <c r="B213" s="42"/>
      <c r="C213" s="109">
        <f t="shared" ref="C213:G213" si="37">NORMINV(rand(),0, 1)</f>
        <v>0.9657665624</v>
      </c>
      <c r="D213" s="85">
        <f t="shared" si="37"/>
        <v>-0.8528105241</v>
      </c>
      <c r="E213" s="85">
        <f t="shared" si="37"/>
        <v>1.272376832</v>
      </c>
      <c r="F213" s="85">
        <f t="shared" si="37"/>
        <v>-1.129762961</v>
      </c>
      <c r="G213" s="110">
        <f t="shared" si="37"/>
        <v>1.512634246</v>
      </c>
      <c r="H213" s="2"/>
      <c r="I213" s="2"/>
      <c r="J213" s="111"/>
      <c r="K213" s="108"/>
      <c r="L213" s="108"/>
      <c r="M213" s="108"/>
      <c r="N213" s="112"/>
      <c r="O213" s="101"/>
      <c r="P213" s="2"/>
      <c r="Q213" s="42"/>
      <c r="R213" s="109">
        <f t="shared" ref="R213:V213" si="38">NORMINV(rand(),0, 1)</f>
        <v>0.6075613697</v>
      </c>
      <c r="S213" s="85">
        <f t="shared" si="38"/>
        <v>-0.9072216808</v>
      </c>
      <c r="T213" s="85">
        <f t="shared" si="38"/>
        <v>0.2722077027</v>
      </c>
      <c r="U213" s="85">
        <f t="shared" si="38"/>
        <v>0.2422394743</v>
      </c>
      <c r="V213" s="110">
        <f t="shared" si="38"/>
        <v>1.022782672</v>
      </c>
      <c r="W213" s="2"/>
      <c r="X213" s="2"/>
      <c r="Y213" s="111"/>
      <c r="Z213" s="108"/>
      <c r="AA213" s="108"/>
      <c r="AB213" s="108"/>
      <c r="AC213" s="112"/>
      <c r="AD213" s="108"/>
      <c r="AE213" s="108"/>
    </row>
    <row r="214">
      <c r="B214" s="42"/>
      <c r="C214" s="113">
        <f t="shared" ref="C214:G214" si="39">NORMINV(rand(),0, 1)</f>
        <v>0.01786219558</v>
      </c>
      <c r="D214" s="114">
        <f t="shared" si="39"/>
        <v>2.255485841</v>
      </c>
      <c r="E214" s="114">
        <f t="shared" si="39"/>
        <v>-0.8334469821</v>
      </c>
      <c r="F214" s="114">
        <f t="shared" si="39"/>
        <v>-0.7293647708</v>
      </c>
      <c r="G214" s="115">
        <f t="shared" si="39"/>
        <v>0.3694057654</v>
      </c>
      <c r="H214" s="2"/>
      <c r="J214" s="116"/>
      <c r="K214" s="117"/>
      <c r="L214" s="117"/>
      <c r="M214" s="117"/>
      <c r="N214" s="118"/>
      <c r="O214" s="101"/>
      <c r="P214" s="2"/>
      <c r="Q214" s="42"/>
      <c r="R214" s="113">
        <f t="shared" ref="R214:V214" si="40">NORMINV(rand(),0, 1)</f>
        <v>0.7117192919</v>
      </c>
      <c r="S214" s="114">
        <f t="shared" si="40"/>
        <v>-0.5620875192</v>
      </c>
      <c r="T214" s="114">
        <f t="shared" si="40"/>
        <v>1.109641024</v>
      </c>
      <c r="U214" s="114">
        <f t="shared" si="40"/>
        <v>0.838223299</v>
      </c>
      <c r="V214" s="115">
        <f t="shared" si="40"/>
        <v>0.007997733566</v>
      </c>
      <c r="W214" s="2"/>
      <c r="Y214" s="116"/>
      <c r="Z214" s="117"/>
      <c r="AA214" s="117"/>
      <c r="AB214" s="117"/>
      <c r="AC214" s="118"/>
      <c r="AD214" s="108"/>
      <c r="AE214" s="108"/>
    </row>
    <row r="215">
      <c r="B215" s="1"/>
      <c r="C215" s="2"/>
      <c r="D215" s="2"/>
      <c r="E215" s="2"/>
      <c r="F215" s="2"/>
      <c r="G215" s="2"/>
      <c r="H215" s="2"/>
      <c r="O215" s="101"/>
      <c r="P215" s="2"/>
      <c r="Q215" s="1"/>
      <c r="R215" s="2"/>
      <c r="S215" s="2"/>
      <c r="T215" s="2"/>
      <c r="U215" s="2"/>
      <c r="V215" s="2"/>
      <c r="W215" s="2"/>
    </row>
    <row r="216">
      <c r="B216" s="66" t="s">
        <v>46</v>
      </c>
      <c r="C216" s="102">
        <f t="shared" ref="C216:G216" si="41">NORMINV(rand(),0, 1)</f>
        <v>-0.7969760591</v>
      </c>
      <c r="D216" s="103">
        <f t="shared" si="41"/>
        <v>0.7198522082</v>
      </c>
      <c r="E216" s="103">
        <f t="shared" si="41"/>
        <v>-1.141343333</v>
      </c>
      <c r="F216" s="103">
        <f t="shared" si="41"/>
        <v>-1.722057884</v>
      </c>
      <c r="G216" s="104">
        <f t="shared" si="41"/>
        <v>0.8943233278</v>
      </c>
      <c r="H216" s="2"/>
      <c r="I216" s="66" t="s">
        <v>47</v>
      </c>
      <c r="J216" s="105">
        <f t="array" ref="J216:N220">MMULT(C216:G220,$M$203:$Q$207)</f>
        <v>-3.706266016</v>
      </c>
      <c r="K216" s="106">
        <v>-0.27506578778935425</v>
      </c>
      <c r="L216" s="106">
        <v>0.7497516415560352</v>
      </c>
      <c r="M216" s="106">
        <v>1.4811028246194724</v>
      </c>
      <c r="N216" s="107">
        <v>-1.047108649061903</v>
      </c>
      <c r="O216" s="101"/>
      <c r="P216" s="2"/>
      <c r="Q216" s="66" t="s">
        <v>48</v>
      </c>
      <c r="R216" s="102">
        <f t="shared" ref="R216:V216" si="42">NORMINV(rand(),0, 1)</f>
        <v>0.5989136003</v>
      </c>
      <c r="S216" s="103">
        <f t="shared" si="42"/>
        <v>-1.635076622</v>
      </c>
      <c r="T216" s="103">
        <f t="shared" si="42"/>
        <v>1.91508753</v>
      </c>
      <c r="U216" s="103">
        <f t="shared" si="42"/>
        <v>-0.1569229907</v>
      </c>
      <c r="V216" s="104">
        <f t="shared" si="42"/>
        <v>-1.113209272</v>
      </c>
      <c r="W216" s="2"/>
      <c r="X216" s="66" t="s">
        <v>49</v>
      </c>
      <c r="Y216" s="105">
        <f t="array" ref="Y216:AC220">MMULT(R216:V220,$M$203:$Q$207)</f>
        <v>3.215371011</v>
      </c>
      <c r="Z216" s="106">
        <v>1.6305788613276029</v>
      </c>
      <c r="AA216" s="106">
        <v>-0.7842995402150237</v>
      </c>
      <c r="AB216" s="106">
        <v>0.6251993012307262</v>
      </c>
      <c r="AC216" s="107">
        <v>0.6478442002202387</v>
      </c>
      <c r="AD216" s="108"/>
      <c r="AE216" s="108"/>
    </row>
    <row r="217">
      <c r="B217" s="66" t="s">
        <v>12</v>
      </c>
      <c r="C217" s="109">
        <f t="shared" ref="C217:G217" si="43">NORMINV(rand(),0, 1)</f>
        <v>0.2328461984</v>
      </c>
      <c r="D217" s="85">
        <f t="shared" si="43"/>
        <v>0.9985224041</v>
      </c>
      <c r="E217" s="85">
        <f t="shared" si="43"/>
        <v>1.286395758</v>
      </c>
      <c r="F217" s="85">
        <f t="shared" si="43"/>
        <v>-0.8726423188</v>
      </c>
      <c r="G217" s="110">
        <f t="shared" si="43"/>
        <v>0.01643328389</v>
      </c>
      <c r="H217" s="2"/>
      <c r="I217" s="2"/>
      <c r="J217" s="111">
        <v>1.6806291514058704</v>
      </c>
      <c r="K217" s="108">
        <v>-0.07950624615807858</v>
      </c>
      <c r="L217" s="108">
        <v>0.11763514307431056</v>
      </c>
      <c r="M217" s="108">
        <v>1.7908471372172505</v>
      </c>
      <c r="N217" s="112">
        <v>0.7052148601530268</v>
      </c>
      <c r="O217" s="101"/>
      <c r="P217" s="2"/>
      <c r="Q217" s="66" t="s">
        <v>12</v>
      </c>
      <c r="R217" s="109">
        <f t="shared" ref="R217:V217" si="44">NORMINV(rand(),0, 1)</f>
        <v>0.9759950562</v>
      </c>
      <c r="S217" s="85">
        <f t="shared" si="44"/>
        <v>-0.5262227381</v>
      </c>
      <c r="T217" s="85">
        <f t="shared" si="44"/>
        <v>-3.182582296</v>
      </c>
      <c r="U217" s="85">
        <f t="shared" si="44"/>
        <v>-1.941939119</v>
      </c>
      <c r="V217" s="110">
        <f t="shared" si="44"/>
        <v>-0.1006945122</v>
      </c>
      <c r="W217" s="2"/>
      <c r="X217" s="2"/>
      <c r="Y217" s="111">
        <v>-3.029404083222995</v>
      </c>
      <c r="Z217" s="108">
        <v>1.4684184840670982</v>
      </c>
      <c r="AA217" s="108">
        <v>2.9449593142830217</v>
      </c>
      <c r="AB217" s="108">
        <v>1.7262229622220868</v>
      </c>
      <c r="AC217" s="112">
        <v>-2.659900809893894</v>
      </c>
      <c r="AD217" s="108"/>
      <c r="AE217" s="108"/>
    </row>
    <row r="218">
      <c r="B218" s="42"/>
      <c r="C218" s="109">
        <f t="shared" ref="C218:G218" si="45">NORMINV(rand(),0, 1)</f>
        <v>-0.01872155684</v>
      </c>
      <c r="D218" s="85">
        <f t="shared" si="45"/>
        <v>-1.008170669</v>
      </c>
      <c r="E218" s="85">
        <f t="shared" si="45"/>
        <v>-0.982202449</v>
      </c>
      <c r="F218" s="85">
        <f t="shared" si="45"/>
        <v>-0.9781288</v>
      </c>
      <c r="G218" s="110">
        <f t="shared" si="45"/>
        <v>1.064242377</v>
      </c>
      <c r="H218" s="67" t="s">
        <v>7</v>
      </c>
      <c r="I218" s="67" t="s">
        <v>7</v>
      </c>
      <c r="J218" s="111">
        <v>-4.571227089680017</v>
      </c>
      <c r="K218" s="108">
        <v>0.6652583141833766</v>
      </c>
      <c r="L218" s="108">
        <v>0.30729606854731545</v>
      </c>
      <c r="M218" s="108">
        <v>0.8902611952115727</v>
      </c>
      <c r="N218" s="112">
        <v>-2.461424153314298</v>
      </c>
      <c r="O218" s="101"/>
      <c r="P218" s="2"/>
      <c r="Q218" s="42"/>
      <c r="R218" s="109">
        <f t="shared" ref="R218:V218" si="46">NORMINV(rand(),0, 1)</f>
        <v>-1.013967721</v>
      </c>
      <c r="S218" s="85">
        <f t="shared" si="46"/>
        <v>0.5545969523</v>
      </c>
      <c r="T218" s="85">
        <f t="shared" si="46"/>
        <v>-2.234158316</v>
      </c>
      <c r="U218" s="85">
        <f t="shared" si="46"/>
        <v>-0.2458232482</v>
      </c>
      <c r="V218" s="110">
        <f t="shared" si="46"/>
        <v>-0.3011615683</v>
      </c>
      <c r="W218" s="67" t="s">
        <v>7</v>
      </c>
      <c r="X218" s="67" t="s">
        <v>7</v>
      </c>
      <c r="Y218" s="111">
        <v>-1.5148702406853367</v>
      </c>
      <c r="Z218" s="108">
        <v>-0.586620618509413</v>
      </c>
      <c r="AA218" s="108">
        <v>0.8613611575537202</v>
      </c>
      <c r="AB218" s="108">
        <v>-1.0869552506564102</v>
      </c>
      <c r="AC218" s="112">
        <v>0.30556158433431035</v>
      </c>
      <c r="AD218" s="108"/>
      <c r="AE218" s="108"/>
    </row>
    <row r="219">
      <c r="B219" s="42"/>
      <c r="C219" s="109">
        <f t="shared" ref="C219:G219" si="47">NORMINV(rand(),0, 1)</f>
        <v>-2.659655256</v>
      </c>
      <c r="D219" s="85">
        <f t="shared" si="47"/>
        <v>0.06837166883</v>
      </c>
      <c r="E219" s="85">
        <f t="shared" si="47"/>
        <v>1.935012373</v>
      </c>
      <c r="F219" s="85">
        <f t="shared" si="47"/>
        <v>-0.3970211574</v>
      </c>
      <c r="G219" s="110">
        <f t="shared" si="47"/>
        <v>-1.035381521</v>
      </c>
      <c r="H219" s="2"/>
      <c r="I219" s="2"/>
      <c r="J219" s="111">
        <v>2.159281238758917</v>
      </c>
      <c r="K219" s="108">
        <v>-0.5485756131272155</v>
      </c>
      <c r="L219" s="108">
        <v>-2.330788688333246</v>
      </c>
      <c r="M219" s="108">
        <v>-0.864989102272071</v>
      </c>
      <c r="N219" s="112">
        <v>3.514465413069726</v>
      </c>
      <c r="O219" s="101"/>
      <c r="P219" s="2"/>
      <c r="Q219" s="42"/>
      <c r="R219" s="109">
        <f t="shared" ref="R219:V219" si="48">NORMINV(rand(),0, 1)</f>
        <v>1.351222465</v>
      </c>
      <c r="S219" s="85">
        <f t="shared" si="48"/>
        <v>-1.2288361</v>
      </c>
      <c r="T219" s="85">
        <f t="shared" si="48"/>
        <v>-0.5894015755</v>
      </c>
      <c r="U219" s="85">
        <f t="shared" si="48"/>
        <v>2.864345011</v>
      </c>
      <c r="V219" s="110">
        <f t="shared" si="48"/>
        <v>-1.703394607</v>
      </c>
      <c r="W219" s="2"/>
      <c r="X219" s="2"/>
      <c r="Y219" s="111">
        <v>4.553016606448285</v>
      </c>
      <c r="Z219" s="108">
        <v>0.4784037885552964</v>
      </c>
      <c r="AA219" s="108">
        <v>0.13141045966334575</v>
      </c>
      <c r="AB219" s="108">
        <v>-3.3357393259904926</v>
      </c>
      <c r="AC219" s="112">
        <v>0.9315650713322656</v>
      </c>
      <c r="AD219" s="108"/>
      <c r="AE219" s="108"/>
    </row>
    <row r="220">
      <c r="B220" s="42"/>
      <c r="C220" s="113">
        <f t="shared" ref="C220:G220" si="49">NORMINV(rand(),0, 1)</f>
        <v>-0.599784209</v>
      </c>
      <c r="D220" s="114">
        <f t="shared" si="49"/>
        <v>1.975889743</v>
      </c>
      <c r="E220" s="114">
        <f t="shared" si="49"/>
        <v>1.031580924</v>
      </c>
      <c r="F220" s="114">
        <f t="shared" si="49"/>
        <v>-0.2037340683</v>
      </c>
      <c r="G220" s="115">
        <f t="shared" si="49"/>
        <v>1.034448486</v>
      </c>
      <c r="H220" s="2"/>
      <c r="J220" s="116">
        <v>-0.39916175568914714</v>
      </c>
      <c r="K220" s="117">
        <v>-1.5663786978090513</v>
      </c>
      <c r="L220" s="117">
        <v>-0.5096539088732701</v>
      </c>
      <c r="M220" s="117">
        <v>0.8210067435053128</v>
      </c>
      <c r="N220" s="118">
        <v>0.7443923810616282</v>
      </c>
      <c r="O220" s="101"/>
      <c r="P220" s="2"/>
      <c r="Q220" s="42"/>
      <c r="R220" s="113">
        <f t="shared" ref="R220:V220" si="50">NORMINV(rand(),0, 1)</f>
        <v>0.7277717934</v>
      </c>
      <c r="S220" s="114">
        <f t="shared" si="50"/>
        <v>0.7903252025</v>
      </c>
      <c r="T220" s="114">
        <f t="shared" si="50"/>
        <v>0.3845428992</v>
      </c>
      <c r="U220" s="114">
        <f t="shared" si="50"/>
        <v>0.9447275236</v>
      </c>
      <c r="V220" s="115">
        <f t="shared" si="50"/>
        <v>0.5188641707</v>
      </c>
      <c r="W220" s="2"/>
      <c r="Y220" s="116">
        <v>0.6438208441042148</v>
      </c>
      <c r="Z220" s="117">
        <v>-0.7256848448262306</v>
      </c>
      <c r="AA220" s="117">
        <v>0.01883798120146088</v>
      </c>
      <c r="AB220" s="117">
        <v>-0.22942182286527427</v>
      </c>
      <c r="AC220" s="118">
        <v>-0.13179031308132733</v>
      </c>
      <c r="AD220" s="108"/>
      <c r="AE220" s="108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01"/>
      <c r="P221" s="2"/>
      <c r="Q221" s="1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B222" s="66" t="s">
        <v>50</v>
      </c>
      <c r="C222" s="119">
        <f t="shared" ref="C222:G222" si="51">NORMINV(rand(),0, 1)</f>
        <v>1.10514808</v>
      </c>
      <c r="D222" s="120">
        <f t="shared" si="51"/>
        <v>-0.1093096578</v>
      </c>
      <c r="E222" s="121">
        <f t="shared" si="51"/>
        <v>1.549223995</v>
      </c>
      <c r="F222" s="122">
        <f t="shared" si="51"/>
        <v>-0.1480078258</v>
      </c>
      <c r="G222" s="123">
        <f t="shared" si="51"/>
        <v>-0.3406339012</v>
      </c>
      <c r="H222" s="2"/>
      <c r="I222" s="66" t="s">
        <v>51</v>
      </c>
      <c r="J222" s="124">
        <f t="array" ref="J222:N226">MMULT(C222:G226,$M$203:$Q$207)</f>
        <v>2.707049676</v>
      </c>
      <c r="K222" s="125">
        <v>0.7018157774852426</v>
      </c>
      <c r="L222" s="126">
        <v>0.015176700442032828</v>
      </c>
      <c r="M222" s="127">
        <v>1.2993436616367045</v>
      </c>
      <c r="N222" s="128">
        <v>0.2278777451965005</v>
      </c>
      <c r="O222" s="101"/>
      <c r="P222" s="2"/>
      <c r="Q222" s="66" t="s">
        <v>52</v>
      </c>
      <c r="R222" s="119">
        <f t="shared" ref="R222:V222" si="52">NORMINV(rand(),0, 1)</f>
        <v>-0.735932435</v>
      </c>
      <c r="S222" s="120">
        <f t="shared" si="52"/>
        <v>-0.1331831397</v>
      </c>
      <c r="T222" s="121">
        <f t="shared" si="52"/>
        <v>1.648190077</v>
      </c>
      <c r="U222" s="122">
        <f t="shared" si="52"/>
        <v>1.458297318</v>
      </c>
      <c r="V222" s="123">
        <f t="shared" si="52"/>
        <v>-1.920662303</v>
      </c>
      <c r="W222" s="2"/>
      <c r="X222" s="66" t="s">
        <v>53</v>
      </c>
      <c r="Y222" s="124">
        <f t="array" ref="Y222:AC226">MMULT(R222:V226,$M$203:$Q$207)</f>
        <v>5.88023697</v>
      </c>
      <c r="Z222" s="125">
        <v>-0.2361100923207481</v>
      </c>
      <c r="AA222" s="126">
        <v>-1.4790706216839327</v>
      </c>
      <c r="AB222" s="127">
        <v>-2.148852342831984</v>
      </c>
      <c r="AC222" s="128">
        <v>3.6194476145741237</v>
      </c>
      <c r="AD222" s="130"/>
      <c r="AE222" s="130"/>
    </row>
    <row r="223">
      <c r="B223" s="66" t="s">
        <v>16</v>
      </c>
      <c r="C223" s="131">
        <f t="shared" ref="C223:G223" si="53">NORMINV(rand(),0, 1)</f>
        <v>-0.7880609442</v>
      </c>
      <c r="D223" s="132">
        <f t="shared" si="53"/>
        <v>-0.3634949809</v>
      </c>
      <c r="E223" s="133">
        <f t="shared" si="53"/>
        <v>2.087310185</v>
      </c>
      <c r="F223" s="134">
        <f t="shared" si="53"/>
        <v>1.378447543</v>
      </c>
      <c r="G223" s="135">
        <f t="shared" si="53"/>
        <v>-1.75725517</v>
      </c>
      <c r="H223" s="2"/>
      <c r="I223" s="42"/>
      <c r="J223" s="136">
        <v>5.611081974292938</v>
      </c>
      <c r="K223" s="137">
        <v>-0.1231234540782492</v>
      </c>
      <c r="L223" s="138">
        <v>-1.8272941457461584</v>
      </c>
      <c r="M223" s="139">
        <v>-1.9440971034763734</v>
      </c>
      <c r="N223" s="140">
        <v>3.488586544254468</v>
      </c>
      <c r="O223" s="101"/>
      <c r="P223" s="2"/>
      <c r="Q223" s="66" t="s">
        <v>16</v>
      </c>
      <c r="R223" s="131">
        <f t="shared" ref="R223:V223" si="54">NORMINV(rand(),0, 1)</f>
        <v>-2.735832749</v>
      </c>
      <c r="S223" s="132">
        <f t="shared" si="54"/>
        <v>2.011404472</v>
      </c>
      <c r="T223" s="133">
        <f t="shared" si="54"/>
        <v>0.07758827385</v>
      </c>
      <c r="U223" s="134">
        <f t="shared" si="54"/>
        <v>-0.07669034051</v>
      </c>
      <c r="V223" s="135">
        <f t="shared" si="54"/>
        <v>0.7014719395</v>
      </c>
      <c r="W223" s="2"/>
      <c r="X223" s="42"/>
      <c r="Y223" s="136">
        <v>-1.7918210729583575</v>
      </c>
      <c r="Z223" s="137">
        <v>-2.405231324088528</v>
      </c>
      <c r="AA223" s="138">
        <v>-1.3603192885033857</v>
      </c>
      <c r="AB223" s="139">
        <v>-1.1084795770119813</v>
      </c>
      <c r="AC223" s="140">
        <v>2.0993041025589054</v>
      </c>
      <c r="AD223" s="141"/>
      <c r="AE223" s="141"/>
    </row>
    <row r="224">
      <c r="B224" s="42"/>
      <c r="C224" s="142">
        <f t="shared" ref="C224:G224" si="55">NORMINV(rand(),0, 1)</f>
        <v>-0.90732505</v>
      </c>
      <c r="D224" s="143">
        <f t="shared" si="55"/>
        <v>-0.09346310516</v>
      </c>
      <c r="E224" s="88">
        <f t="shared" si="55"/>
        <v>-0.443839485</v>
      </c>
      <c r="F224" s="144">
        <f t="shared" si="55"/>
        <v>0.4343128289</v>
      </c>
      <c r="G224" s="145">
        <f t="shared" si="55"/>
        <v>-1.519161994</v>
      </c>
      <c r="H224" s="67" t="s">
        <v>7</v>
      </c>
      <c r="I224" s="67" t="s">
        <v>7</v>
      </c>
      <c r="J224" s="146">
        <v>2.666545702419432</v>
      </c>
      <c r="K224" s="147">
        <v>-0.05791895114586443</v>
      </c>
      <c r="L224" s="148">
        <v>-0.17404338499430488</v>
      </c>
      <c r="M224" s="149">
        <v>-1.6473835409235615</v>
      </c>
      <c r="N224" s="150">
        <v>2.14841982514955</v>
      </c>
      <c r="O224" s="101"/>
      <c r="P224" s="2"/>
      <c r="Q224" s="42"/>
      <c r="R224" s="142">
        <f t="shared" ref="R224:V224" si="56">NORMINV(rand(),0, 1)</f>
        <v>0.9669743519</v>
      </c>
      <c r="S224" s="143">
        <f t="shared" si="56"/>
        <v>-0.9340783657</v>
      </c>
      <c r="T224" s="88">
        <f t="shared" si="56"/>
        <v>0.06761528208</v>
      </c>
      <c r="U224" s="144">
        <f t="shared" si="56"/>
        <v>0.3519489182</v>
      </c>
      <c r="V224" s="145">
        <f t="shared" si="56"/>
        <v>0.3878902136</v>
      </c>
      <c r="W224" s="67" t="s">
        <v>7</v>
      </c>
      <c r="X224" s="67" t="s">
        <v>7</v>
      </c>
      <c r="Y224" s="146">
        <v>-0.8271604412097111</v>
      </c>
      <c r="Z224" s="147">
        <v>0.656366403911523</v>
      </c>
      <c r="AA224" s="148">
        <v>0.07358287048537117</v>
      </c>
      <c r="AB224" s="149">
        <v>0.1625794449998127</v>
      </c>
      <c r="AC224" s="150">
        <v>-1.454321562761402</v>
      </c>
      <c r="AD224" s="151"/>
      <c r="AE224" s="151"/>
    </row>
    <row r="225">
      <c r="B225" s="42"/>
      <c r="C225" s="152">
        <f t="shared" ref="C225:G225" si="57">NORMINV(rand(),0, 1)</f>
        <v>2.647676783</v>
      </c>
      <c r="D225" s="92">
        <f t="shared" si="57"/>
        <v>-0.4263896925</v>
      </c>
      <c r="E225" s="153">
        <f t="shared" si="57"/>
        <v>0.2980363022</v>
      </c>
      <c r="F225" s="154">
        <f t="shared" si="57"/>
        <v>-0.7054991223</v>
      </c>
      <c r="G225" s="155">
        <f t="shared" si="57"/>
        <v>-0.6747340481</v>
      </c>
      <c r="H225" s="2"/>
      <c r="I225" s="42"/>
      <c r="J225" s="156">
        <v>2.982275512687671</v>
      </c>
      <c r="K225" s="157">
        <v>1.7916185245987004</v>
      </c>
      <c r="L225" s="158">
        <v>1.8932782145443</v>
      </c>
      <c r="M225" s="159">
        <v>2.393082928697721</v>
      </c>
      <c r="N225" s="160">
        <v>-1.207019318786469</v>
      </c>
      <c r="O225" s="101"/>
      <c r="P225" s="2"/>
      <c r="Q225" s="42"/>
      <c r="R225" s="152">
        <f t="shared" ref="R225:V225" si="58">NORMINV(rand(),0, 1)</f>
        <v>-0.7802284798</v>
      </c>
      <c r="S225" s="92">
        <f t="shared" si="58"/>
        <v>-1.727768009</v>
      </c>
      <c r="T225" s="153">
        <f t="shared" si="58"/>
        <v>-2.451663757</v>
      </c>
      <c r="U225" s="154">
        <f t="shared" si="58"/>
        <v>-1.638969141</v>
      </c>
      <c r="V225" s="155">
        <f t="shared" si="58"/>
        <v>-2.06337042</v>
      </c>
      <c r="W225" s="2"/>
      <c r="X225" s="42"/>
      <c r="Y225" s="156">
        <v>0.12490482170809347</v>
      </c>
      <c r="Z225" s="157">
        <v>1.9429029172736345</v>
      </c>
      <c r="AA225" s="158">
        <v>1.4123628458780326</v>
      </c>
      <c r="AB225" s="159">
        <v>-0.24406792680040845</v>
      </c>
      <c r="AC225" s="160">
        <v>0.293830842845737</v>
      </c>
      <c r="AD225" s="161"/>
      <c r="AE225" s="161"/>
    </row>
    <row r="226">
      <c r="B226" s="42"/>
      <c r="C226" s="162">
        <f t="shared" ref="C226:G226" si="59">NORMINV(rand(),0, 1)</f>
        <v>-0.03148508532</v>
      </c>
      <c r="D226" s="163">
        <f t="shared" si="59"/>
        <v>0.4756212038</v>
      </c>
      <c r="E226" s="164">
        <f t="shared" si="59"/>
        <v>1.149821094</v>
      </c>
      <c r="F226" s="165">
        <f t="shared" si="59"/>
        <v>0.08282631264</v>
      </c>
      <c r="G226" s="166">
        <f t="shared" si="59"/>
        <v>0.4842232421</v>
      </c>
      <c r="H226" s="2"/>
      <c r="I226" s="42"/>
      <c r="J226" s="167">
        <v>0.24735360650630067</v>
      </c>
      <c r="K226" s="168">
        <v>-0.43327815562047545</v>
      </c>
      <c r="L226" s="169">
        <v>-0.6368005666871973</v>
      </c>
      <c r="M226" s="170">
        <v>0.4760372742863317</v>
      </c>
      <c r="N226" s="171">
        <v>0.2528277243585252</v>
      </c>
      <c r="O226" s="101"/>
      <c r="P226" s="2"/>
      <c r="Q226" s="42"/>
      <c r="R226" s="162">
        <f t="shared" ref="R226:V226" si="60">NORMINV(rand(),0, 1)</f>
        <v>-0.5429383476</v>
      </c>
      <c r="S226" s="163">
        <f t="shared" si="60"/>
        <v>-0.8176162436</v>
      </c>
      <c r="T226" s="164">
        <f t="shared" si="60"/>
        <v>1.280935688</v>
      </c>
      <c r="U226" s="165">
        <f t="shared" si="60"/>
        <v>0.07229875357</v>
      </c>
      <c r="V226" s="166">
        <f t="shared" si="60"/>
        <v>-0.7689925797</v>
      </c>
      <c r="W226" s="2"/>
      <c r="X226" s="42"/>
      <c r="Y226" s="167">
        <v>1.8705498252700203</v>
      </c>
      <c r="Z226" s="168">
        <v>0.49237740335472735</v>
      </c>
      <c r="AA226" s="169">
        <v>-1.1210417388605445</v>
      </c>
      <c r="AB226" s="170">
        <v>-0.35652582429456414</v>
      </c>
      <c r="AC226" s="171">
        <v>1.2558495366853324</v>
      </c>
      <c r="AD226" s="172"/>
      <c r="AE226" s="17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01"/>
      <c r="P227" s="2"/>
      <c r="Q227" s="1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B228" s="1"/>
      <c r="C228" s="2"/>
      <c r="D228" s="2"/>
      <c r="E228" s="2"/>
      <c r="L228" s="2"/>
      <c r="M228" s="2"/>
      <c r="N228" s="2"/>
      <c r="O228" s="101"/>
      <c r="P228" s="2"/>
      <c r="Q228" s="1"/>
      <c r="R228" s="2"/>
      <c r="S228" s="2"/>
      <c r="T228" s="2"/>
      <c r="AA228" s="2"/>
      <c r="AB228" s="2"/>
      <c r="AC228" s="2"/>
      <c r="AD228" s="2"/>
      <c r="AE228" s="2"/>
    </row>
    <row r="229">
      <c r="B229" s="1"/>
      <c r="C229" s="2"/>
      <c r="D229" s="2"/>
      <c r="E229" s="2"/>
      <c r="F229" s="68" t="s">
        <v>22</v>
      </c>
      <c r="G229" s="7" t="str">
        <f t="array" ref="G229">MMULT(TRANSPOSE(J216:N220),J210:N214) / 5^0.5</f>
        <v>#VALUE!</v>
      </c>
      <c r="H229" s="8"/>
      <c r="I229" s="8"/>
      <c r="J229" s="8"/>
      <c r="K229" s="9"/>
      <c r="L229" s="2"/>
      <c r="M229" s="2"/>
      <c r="N229" s="2"/>
      <c r="O229" s="101"/>
      <c r="P229" s="2"/>
      <c r="Q229" s="1"/>
      <c r="R229" s="2"/>
      <c r="S229" s="2"/>
      <c r="T229" s="2"/>
      <c r="U229" s="68" t="s">
        <v>22</v>
      </c>
      <c r="V229" s="7" t="str">
        <f t="array" ref="V229">MMULT(TRANSPOSE(Y216:AC220),Y210:AC214) / 5^0.5</f>
        <v>#VALUE!</v>
      </c>
      <c r="W229" s="8"/>
      <c r="X229" s="8"/>
      <c r="Y229" s="8"/>
      <c r="Z229" s="9"/>
      <c r="AA229" s="2"/>
      <c r="AB229" s="2"/>
      <c r="AC229" s="2"/>
      <c r="AD229" s="2"/>
      <c r="AE229" s="2"/>
    </row>
    <row r="230">
      <c r="B230" s="1"/>
      <c r="C230" s="2"/>
      <c r="D230" s="2"/>
      <c r="E230" s="2"/>
      <c r="G230" s="11"/>
      <c r="H230" s="10"/>
      <c r="I230" s="10"/>
      <c r="J230" s="10"/>
      <c r="K230" s="12"/>
      <c r="L230" s="2"/>
      <c r="M230" s="2"/>
      <c r="N230" s="2"/>
      <c r="O230" s="101"/>
      <c r="P230" s="2"/>
      <c r="Q230" s="1"/>
      <c r="R230" s="2"/>
      <c r="S230" s="2"/>
      <c r="T230" s="2"/>
      <c r="V230" s="11"/>
      <c r="W230" s="10"/>
      <c r="X230" s="10"/>
      <c r="Y230" s="10"/>
      <c r="Z230" s="12"/>
      <c r="AA230" s="2"/>
      <c r="AB230" s="2"/>
      <c r="AC230" s="2"/>
      <c r="AD230" s="2"/>
      <c r="AE230" s="2"/>
    </row>
    <row r="231">
      <c r="B231" s="1"/>
      <c r="C231" s="2"/>
      <c r="D231" s="2"/>
      <c r="E231" s="2"/>
      <c r="G231" s="11"/>
      <c r="H231" s="10"/>
      <c r="I231" s="10"/>
      <c r="J231" s="10"/>
      <c r="K231" s="12"/>
      <c r="L231" s="2"/>
      <c r="M231" s="2"/>
      <c r="N231" s="2"/>
      <c r="O231" s="101"/>
      <c r="P231" s="2"/>
      <c r="Q231" s="1"/>
      <c r="R231" s="2"/>
      <c r="S231" s="2"/>
      <c r="T231" s="2"/>
      <c r="V231" s="11"/>
      <c r="W231" s="10"/>
      <c r="X231" s="10"/>
      <c r="Y231" s="10"/>
      <c r="Z231" s="12"/>
      <c r="AA231" s="2"/>
      <c r="AB231" s="2"/>
      <c r="AC231" s="2"/>
      <c r="AD231" s="2"/>
      <c r="AE231" s="2"/>
    </row>
    <row r="232">
      <c r="B232" s="1"/>
      <c r="C232" s="2"/>
      <c r="D232" s="2"/>
      <c r="E232" s="2"/>
      <c r="G232" s="11"/>
      <c r="H232" s="10"/>
      <c r="I232" s="10"/>
      <c r="J232" s="10"/>
      <c r="K232" s="12"/>
      <c r="L232" s="2"/>
      <c r="M232" s="2"/>
      <c r="N232" s="2"/>
      <c r="O232" s="101"/>
      <c r="P232" s="2"/>
      <c r="Q232" s="1"/>
      <c r="R232" s="2"/>
      <c r="S232" s="2"/>
      <c r="T232" s="2"/>
      <c r="V232" s="11"/>
      <c r="W232" s="10"/>
      <c r="X232" s="10"/>
      <c r="Y232" s="10"/>
      <c r="Z232" s="12"/>
      <c r="AA232" s="2"/>
      <c r="AB232" s="2"/>
      <c r="AC232" s="2"/>
      <c r="AD232" s="2"/>
      <c r="AE232" s="2"/>
    </row>
    <row r="233">
      <c r="B233" s="1"/>
      <c r="C233" s="2"/>
      <c r="D233" s="2"/>
      <c r="E233" s="2"/>
      <c r="G233" s="13"/>
      <c r="H233" s="14"/>
      <c r="I233" s="14"/>
      <c r="J233" s="14"/>
      <c r="K233" s="15"/>
      <c r="L233" s="2"/>
      <c r="M233" s="2"/>
      <c r="N233" s="2"/>
      <c r="O233" s="101"/>
      <c r="P233" s="2"/>
      <c r="Q233" s="1"/>
      <c r="R233" s="2"/>
      <c r="S233" s="2"/>
      <c r="T233" s="2"/>
      <c r="V233" s="13"/>
      <c r="W233" s="14"/>
      <c r="X233" s="14"/>
      <c r="Y233" s="14"/>
      <c r="Z233" s="15"/>
      <c r="AA233" s="2"/>
      <c r="AB233" s="2"/>
      <c r="AC233" s="2"/>
      <c r="AD233" s="2"/>
      <c r="AE233" s="2"/>
    </row>
    <row r="234">
      <c r="B234" s="1"/>
      <c r="C234" s="2"/>
      <c r="D234" s="2"/>
      <c r="E234" s="2"/>
      <c r="F234" s="2"/>
      <c r="G234" s="2"/>
      <c r="H234" s="2"/>
      <c r="I234" s="98" t="s">
        <v>3</v>
      </c>
      <c r="J234" s="2"/>
      <c r="K234" s="2"/>
      <c r="L234" s="2"/>
      <c r="M234" s="2"/>
      <c r="N234" s="2"/>
      <c r="O234" s="101"/>
      <c r="P234" s="2"/>
      <c r="Q234" s="1"/>
      <c r="R234" s="2"/>
      <c r="S234" s="2"/>
      <c r="T234" s="2"/>
      <c r="U234" s="2"/>
      <c r="V234" s="2"/>
      <c r="W234" s="2"/>
      <c r="X234" s="98" t="s">
        <v>3</v>
      </c>
      <c r="Y234" s="2"/>
      <c r="Z234" s="2"/>
      <c r="AA234" s="2"/>
      <c r="AB234" s="2"/>
      <c r="AC234" s="2"/>
      <c r="AD234" s="2"/>
      <c r="AE234" s="2"/>
    </row>
    <row r="235">
      <c r="B235" s="1"/>
      <c r="C235" s="2"/>
      <c r="D235" s="2"/>
      <c r="E235" s="2"/>
      <c r="F235" s="2"/>
      <c r="G235" s="2"/>
      <c r="H235" s="2"/>
      <c r="I235" s="98" t="s">
        <v>3</v>
      </c>
      <c r="J235" s="2"/>
      <c r="K235" s="2"/>
      <c r="L235" s="2"/>
      <c r="M235" s="2"/>
      <c r="N235" s="2"/>
      <c r="O235" s="101"/>
      <c r="P235" s="2"/>
      <c r="Q235" s="1"/>
      <c r="R235" s="2"/>
      <c r="S235" s="2"/>
      <c r="T235" s="2"/>
      <c r="U235" s="2"/>
      <c r="V235" s="2"/>
      <c r="W235" s="2"/>
      <c r="X235" s="98" t="s">
        <v>3</v>
      </c>
      <c r="Y235" s="2"/>
      <c r="Z235" s="2"/>
      <c r="AA235" s="2"/>
      <c r="AB235" s="2"/>
      <c r="AC235" s="2"/>
      <c r="AD235" s="2"/>
      <c r="AE235" s="2"/>
    </row>
    <row r="236">
      <c r="B236" s="1"/>
      <c r="C236" s="2"/>
      <c r="D236" s="2"/>
      <c r="E236" s="2"/>
      <c r="F236" s="34" t="s">
        <v>37</v>
      </c>
      <c r="G236" s="173" t="str">
        <f t="shared" ref="G236:K236" si="61">EXP(G229+Y203)/SUMPRODUCT(EXP($G229:$K229+$Y203:$AC203))
</f>
        <v>#VALUE!</v>
      </c>
      <c r="H236" s="174" t="str">
        <f t="shared" si="61"/>
        <v>#VALUE!</v>
      </c>
      <c r="I236" s="174" t="str">
        <f t="shared" si="61"/>
        <v>#VALUE!</v>
      </c>
      <c r="J236" s="174" t="str">
        <f t="shared" si="61"/>
        <v>#VALUE!</v>
      </c>
      <c r="K236" s="175" t="str">
        <f t="shared" si="61"/>
        <v>#VALUE!</v>
      </c>
      <c r="L236" s="2"/>
      <c r="M236" s="2"/>
      <c r="N236" s="2"/>
      <c r="O236" s="101"/>
      <c r="P236" s="2"/>
      <c r="Q236" s="1"/>
      <c r="R236" s="2"/>
      <c r="S236" s="2"/>
      <c r="T236" s="2"/>
      <c r="U236" s="34" t="s">
        <v>37</v>
      </c>
      <c r="V236" s="173" t="str">
        <f t="shared" ref="V236:Z236" si="62">EXP(V229+Y203)/SUMPRODUCT(EXP($V229:$Z229+$Y203:$AC203))
</f>
        <v>#VALUE!</v>
      </c>
      <c r="W236" s="174" t="str">
        <f t="shared" si="62"/>
        <v>#VALUE!</v>
      </c>
      <c r="X236" s="174" t="str">
        <f t="shared" si="62"/>
        <v>#VALUE!</v>
      </c>
      <c r="Y236" s="174" t="str">
        <f t="shared" si="62"/>
        <v>#VALUE!</v>
      </c>
      <c r="Z236" s="175" t="str">
        <f t="shared" si="62"/>
        <v>#VALUE!</v>
      </c>
      <c r="AA236" s="2"/>
      <c r="AB236" s="2"/>
      <c r="AC236" s="2"/>
      <c r="AD236" s="2"/>
      <c r="AE236" s="2"/>
    </row>
    <row r="237">
      <c r="B237" s="1"/>
      <c r="C237" s="2"/>
      <c r="D237" s="2"/>
      <c r="E237" s="2"/>
      <c r="F237" s="34" t="s">
        <v>35</v>
      </c>
      <c r="G237" s="176">
        <f t="shared" ref="G237:K237" si="63">EXP(G230+Y204)/SUMPRODUCT(EXP($G230:$K230+$Y204:$AC204))
</f>
        <v>0.5</v>
      </c>
      <c r="H237" s="177">
        <f t="shared" si="63"/>
        <v>0.5</v>
      </c>
      <c r="I237" s="177">
        <f t="shared" si="63"/>
        <v>0</v>
      </c>
      <c r="J237" s="177">
        <f t="shared" si="63"/>
        <v>0</v>
      </c>
      <c r="K237" s="178">
        <f t="shared" si="63"/>
        <v>0</v>
      </c>
      <c r="L237" s="2"/>
      <c r="M237" s="2"/>
      <c r="N237" s="2"/>
      <c r="O237" s="101"/>
      <c r="P237" s="2"/>
      <c r="Q237" s="1"/>
      <c r="R237" s="2"/>
      <c r="S237" s="2"/>
      <c r="T237" s="2"/>
      <c r="U237" s="34" t="s">
        <v>35</v>
      </c>
      <c r="V237" s="176">
        <f t="shared" ref="V237:Z237" si="64">EXP(V230+Y204)/SUMPRODUCT(EXP($V230:$Z230+$Y204:$AC204))
</f>
        <v>0.5</v>
      </c>
      <c r="W237" s="177">
        <f t="shared" si="64"/>
        <v>0.5</v>
      </c>
      <c r="X237" s="177">
        <f t="shared" si="64"/>
        <v>0</v>
      </c>
      <c r="Y237" s="177">
        <f t="shared" si="64"/>
        <v>0</v>
      </c>
      <c r="Z237" s="178">
        <f t="shared" si="64"/>
        <v>0</v>
      </c>
      <c r="AA237" s="2"/>
      <c r="AB237" s="2"/>
      <c r="AC237" s="2"/>
      <c r="AD237" s="2"/>
      <c r="AE237" s="2"/>
    </row>
    <row r="238">
      <c r="B238" s="1"/>
      <c r="C238" s="2"/>
      <c r="D238" s="2"/>
      <c r="E238" s="2"/>
      <c r="F238" s="67"/>
      <c r="G238" s="176">
        <f t="shared" ref="G238:K238" si="65">EXP(G231+Y205)/SUMPRODUCT(EXP($G231:$K231+$Y205:$AC205))
</f>
        <v>0.3333333333</v>
      </c>
      <c r="H238" s="177">
        <f t="shared" si="65"/>
        <v>0.3333333333</v>
      </c>
      <c r="I238" s="177">
        <f t="shared" si="65"/>
        <v>0.3333333333</v>
      </c>
      <c r="J238" s="177">
        <f t="shared" si="65"/>
        <v>0</v>
      </c>
      <c r="K238" s="178">
        <f t="shared" si="65"/>
        <v>0</v>
      </c>
      <c r="L238" s="2"/>
      <c r="M238" s="2"/>
      <c r="N238" s="2"/>
      <c r="O238" s="101"/>
      <c r="P238" s="2"/>
      <c r="Q238" s="1"/>
      <c r="R238" s="2"/>
      <c r="S238" s="2"/>
      <c r="T238" s="2"/>
      <c r="U238" s="67"/>
      <c r="V238" s="176">
        <f t="shared" ref="V238:Z238" si="66">EXP(V231+Y205)/SUMPRODUCT(EXP($V231:$Z231+$Y205:$AC205))
</f>
        <v>0.3333333333</v>
      </c>
      <c r="W238" s="177">
        <f t="shared" si="66"/>
        <v>0.3333333333</v>
      </c>
      <c r="X238" s="177">
        <f t="shared" si="66"/>
        <v>0.3333333333</v>
      </c>
      <c r="Y238" s="177">
        <f t="shared" si="66"/>
        <v>0</v>
      </c>
      <c r="Z238" s="178">
        <f t="shared" si="66"/>
        <v>0</v>
      </c>
      <c r="AA238" s="2"/>
      <c r="AB238" s="2"/>
      <c r="AC238" s="2"/>
      <c r="AD238" s="2"/>
      <c r="AE238" s="2"/>
    </row>
    <row r="239">
      <c r="B239" s="1"/>
      <c r="C239" s="2"/>
      <c r="D239" s="2"/>
      <c r="E239" s="2"/>
      <c r="F239" s="94"/>
      <c r="G239" s="176">
        <f t="shared" ref="G239:K239" si="67">EXP(G232+Y206)/SUMPRODUCT(EXP($G232:$K232+$Y206:$AC206))
</f>
        <v>0.25</v>
      </c>
      <c r="H239" s="177">
        <f t="shared" si="67"/>
        <v>0.25</v>
      </c>
      <c r="I239" s="177">
        <f t="shared" si="67"/>
        <v>0.25</v>
      </c>
      <c r="J239" s="177">
        <f t="shared" si="67"/>
        <v>0.25</v>
      </c>
      <c r="K239" s="178">
        <f t="shared" si="67"/>
        <v>0</v>
      </c>
      <c r="L239" s="2"/>
      <c r="M239" s="2"/>
      <c r="N239" s="2"/>
      <c r="O239" s="101"/>
      <c r="P239" s="21"/>
      <c r="Q239" s="2"/>
      <c r="R239" s="2"/>
      <c r="S239" s="2"/>
      <c r="T239" s="2"/>
      <c r="U239" s="2"/>
      <c r="V239" s="176">
        <f t="shared" ref="V239:Z239" si="68">EXP(V232+Y206)/SUMPRODUCT(EXP($V232:$Z232+$Y206:$AC206))
</f>
        <v>0.25</v>
      </c>
      <c r="W239" s="177">
        <f t="shared" si="68"/>
        <v>0.25</v>
      </c>
      <c r="X239" s="177">
        <f t="shared" si="68"/>
        <v>0.25</v>
      </c>
      <c r="Y239" s="177">
        <f t="shared" si="68"/>
        <v>0.25</v>
      </c>
      <c r="Z239" s="178">
        <f t="shared" si="68"/>
        <v>0</v>
      </c>
      <c r="AA239" s="2"/>
      <c r="AB239" s="2"/>
      <c r="AC239" s="2"/>
      <c r="AD239" s="2"/>
      <c r="AE239" s="2"/>
    </row>
    <row r="240">
      <c r="B240" s="1"/>
      <c r="C240" s="2"/>
      <c r="D240" s="2"/>
      <c r="E240" s="2"/>
      <c r="F240" s="42"/>
      <c r="G240" s="179">
        <f t="shared" ref="G240:K240" si="69">EXP(G233+Y207)/SUMPRODUCT(EXP($G233:$K233+$Y207:$AC207))
</f>
        <v>0.2</v>
      </c>
      <c r="H240" s="180">
        <f t="shared" si="69"/>
        <v>0.2</v>
      </c>
      <c r="I240" s="180">
        <f t="shared" si="69"/>
        <v>0.2</v>
      </c>
      <c r="J240" s="180">
        <f t="shared" si="69"/>
        <v>0.2</v>
      </c>
      <c r="K240" s="181">
        <f t="shared" si="69"/>
        <v>0.2</v>
      </c>
      <c r="L240" s="2"/>
      <c r="M240" s="2"/>
      <c r="N240" s="2"/>
      <c r="O240" s="101"/>
      <c r="P240" s="2"/>
      <c r="Q240" s="2"/>
      <c r="R240" s="2"/>
      <c r="S240" s="2"/>
      <c r="T240" s="2"/>
      <c r="U240" s="2"/>
      <c r="V240" s="179">
        <f t="shared" ref="V240:Z240" si="70">EXP(V233+Y207)/SUMPRODUCT(EXP($V233:$Z233+$Y207:$AC207))
</f>
        <v>0.2</v>
      </c>
      <c r="W240" s="180">
        <f t="shared" si="70"/>
        <v>0.2</v>
      </c>
      <c r="X240" s="180">
        <f t="shared" si="70"/>
        <v>0.2</v>
      </c>
      <c r="Y240" s="180">
        <f t="shared" si="70"/>
        <v>0.2</v>
      </c>
      <c r="Z240" s="181">
        <f t="shared" si="70"/>
        <v>0.2</v>
      </c>
      <c r="AA240" s="2"/>
      <c r="AB240" s="2"/>
      <c r="AC240" s="2"/>
      <c r="AD240" s="2"/>
      <c r="AE240" s="2"/>
    </row>
    <row r="241">
      <c r="B241" s="1"/>
      <c r="C241" s="2"/>
      <c r="D241" s="2"/>
      <c r="E241" s="2"/>
      <c r="F241" s="2"/>
      <c r="G241" s="2"/>
      <c r="H241" s="2"/>
      <c r="I241" s="98" t="s">
        <v>3</v>
      </c>
      <c r="J241" s="2"/>
      <c r="K241" s="2"/>
      <c r="L241" s="2"/>
      <c r="M241" s="2"/>
      <c r="N241" s="2"/>
      <c r="O241" s="101"/>
      <c r="P241" s="2"/>
      <c r="Q241" s="2"/>
      <c r="R241" s="2"/>
      <c r="S241" s="2"/>
      <c r="T241" s="2"/>
      <c r="U241" s="2"/>
      <c r="V241" s="2"/>
      <c r="W241" s="2"/>
      <c r="X241" s="98" t="s">
        <v>3</v>
      </c>
      <c r="Y241" s="2"/>
      <c r="Z241" s="2"/>
      <c r="AA241" s="2"/>
      <c r="AB241" s="2"/>
      <c r="AC241" s="2"/>
      <c r="AD241" s="2"/>
      <c r="AE241" s="2"/>
    </row>
    <row r="242">
      <c r="B242" s="1"/>
      <c r="C242" s="2"/>
      <c r="D242" s="2"/>
      <c r="E242" s="2"/>
      <c r="F242" s="2"/>
      <c r="G242" s="2"/>
      <c r="H242" s="2"/>
      <c r="I242" s="98" t="s">
        <v>3</v>
      </c>
      <c r="J242" s="2"/>
      <c r="K242" s="2"/>
      <c r="L242" s="2"/>
      <c r="M242" s="2"/>
      <c r="N242" s="2"/>
      <c r="O242" s="101"/>
      <c r="P242" s="2"/>
      <c r="Q242" s="2"/>
      <c r="R242" s="2"/>
      <c r="S242" s="2"/>
      <c r="T242" s="2"/>
      <c r="U242" s="2"/>
      <c r="V242" s="2"/>
      <c r="W242" s="2"/>
      <c r="X242" s="98" t="s">
        <v>3</v>
      </c>
      <c r="Y242" s="2"/>
      <c r="Z242" s="2"/>
      <c r="AA242" s="2"/>
      <c r="AB242" s="2"/>
      <c r="AC242" s="2"/>
      <c r="AD242" s="2"/>
      <c r="AE242" s="2"/>
    </row>
    <row r="243">
      <c r="B243" s="1"/>
      <c r="C243" s="2"/>
      <c r="D243" s="2"/>
      <c r="E243" s="2"/>
      <c r="F243" s="66" t="s">
        <v>54</v>
      </c>
      <c r="G243" s="7" t="str">
        <f t="array" ref="G243">MMULT(J222:N226,G236:K240)</f>
        <v>#VALUE!</v>
      </c>
      <c r="H243" s="8"/>
      <c r="I243" s="8"/>
      <c r="J243" s="8"/>
      <c r="K243" s="9"/>
      <c r="L243" s="2"/>
      <c r="M243" s="2"/>
      <c r="N243" s="2"/>
      <c r="O243" s="101"/>
      <c r="P243" s="2"/>
      <c r="Q243" s="2"/>
      <c r="R243" s="2"/>
      <c r="S243" s="2"/>
      <c r="T243" s="2"/>
      <c r="U243" s="66" t="s">
        <v>55</v>
      </c>
      <c r="V243" s="7" t="str">
        <f t="array" ref="V243">MMULT(Y222:AC226,V236:Z240)</f>
        <v>#VALUE!</v>
      </c>
      <c r="W243" s="8"/>
      <c r="X243" s="8"/>
      <c r="Y243" s="8"/>
      <c r="Z243" s="9"/>
      <c r="AA243" s="2"/>
      <c r="AB243" s="2"/>
      <c r="AC243" s="2"/>
      <c r="AD243" s="2"/>
      <c r="AE243" s="2"/>
    </row>
    <row r="244">
      <c r="B244" s="1"/>
      <c r="C244" s="2"/>
      <c r="D244" s="2"/>
      <c r="E244" s="2"/>
      <c r="F244" s="2"/>
      <c r="G244" s="11"/>
      <c r="H244" s="10"/>
      <c r="I244" s="10"/>
      <c r="J244" s="10"/>
      <c r="K244" s="12"/>
      <c r="L244" s="2"/>
      <c r="M244" s="2"/>
      <c r="N244" s="2"/>
      <c r="O244" s="101"/>
      <c r="P244" s="2"/>
      <c r="Q244" s="2"/>
      <c r="R244" s="2"/>
      <c r="S244" s="2"/>
      <c r="T244" s="2"/>
      <c r="U244" s="2"/>
      <c r="V244" s="11"/>
      <c r="W244" s="10"/>
      <c r="X244" s="10"/>
      <c r="Y244" s="10"/>
      <c r="Z244" s="12"/>
      <c r="AA244" s="2"/>
      <c r="AB244" s="2"/>
      <c r="AC244" s="2"/>
      <c r="AD244" s="2"/>
      <c r="AE244" s="2"/>
    </row>
    <row r="245">
      <c r="B245" s="1"/>
      <c r="C245" s="2"/>
      <c r="D245" s="2"/>
      <c r="E245" s="2"/>
      <c r="F245" s="2"/>
      <c r="G245" s="11"/>
      <c r="H245" s="10"/>
      <c r="I245" s="10"/>
      <c r="J245" s="10"/>
      <c r="K245" s="12"/>
      <c r="L245" s="2"/>
      <c r="M245" s="2"/>
      <c r="N245" s="2"/>
      <c r="O245" s="101"/>
      <c r="P245" s="2"/>
      <c r="Q245" s="2"/>
      <c r="R245" s="2"/>
      <c r="S245" s="2"/>
      <c r="T245" s="2"/>
      <c r="U245" s="2"/>
      <c r="V245" s="11"/>
      <c r="W245" s="10"/>
      <c r="X245" s="10"/>
      <c r="Y245" s="10"/>
      <c r="Z245" s="12"/>
      <c r="AA245" s="2"/>
      <c r="AB245" s="2"/>
      <c r="AC245" s="2"/>
      <c r="AD245" s="2"/>
      <c r="AE245" s="2"/>
    </row>
    <row r="246">
      <c r="B246" s="1"/>
      <c r="C246" s="2"/>
      <c r="D246" s="2"/>
      <c r="E246" s="2"/>
      <c r="F246" s="2"/>
      <c r="G246" s="11"/>
      <c r="H246" s="10"/>
      <c r="I246" s="10"/>
      <c r="J246" s="10"/>
      <c r="K246" s="12"/>
      <c r="L246" s="2"/>
      <c r="M246" s="2"/>
      <c r="N246" s="2"/>
      <c r="O246" s="101"/>
      <c r="P246" s="2"/>
      <c r="Q246" s="2"/>
      <c r="R246" s="2"/>
      <c r="S246" s="2"/>
      <c r="T246" s="2"/>
      <c r="U246" s="2"/>
      <c r="V246" s="11"/>
      <c r="W246" s="10"/>
      <c r="X246" s="10"/>
      <c r="Y246" s="10"/>
      <c r="Z246" s="12"/>
      <c r="AA246" s="2"/>
      <c r="AB246" s="2"/>
      <c r="AC246" s="2"/>
      <c r="AD246" s="2"/>
      <c r="AE246" s="2"/>
    </row>
    <row r="247">
      <c r="B247" s="1"/>
      <c r="C247" s="2"/>
      <c r="D247" s="2"/>
      <c r="E247" s="2"/>
      <c r="F247" s="2"/>
      <c r="G247" s="13"/>
      <c r="H247" s="14"/>
      <c r="I247" s="14"/>
      <c r="J247" s="14"/>
      <c r="K247" s="15"/>
      <c r="L247" s="2"/>
      <c r="M247" s="2"/>
      <c r="N247" s="2"/>
      <c r="O247" s="101"/>
      <c r="P247" s="2"/>
      <c r="Q247" s="2"/>
      <c r="R247" s="2"/>
      <c r="S247" s="2"/>
      <c r="T247" s="2"/>
      <c r="U247" s="2"/>
      <c r="V247" s="13"/>
      <c r="W247" s="14"/>
      <c r="X247" s="14"/>
      <c r="Y247" s="14"/>
      <c r="Z247" s="15"/>
      <c r="AA247" s="2"/>
      <c r="AB247" s="2"/>
      <c r="AC247" s="2"/>
      <c r="AD247" s="2"/>
      <c r="AE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01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01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47" t="s">
        <v>56</v>
      </c>
      <c r="AA253" s="48"/>
      <c r="AB253" s="48"/>
      <c r="AC253" s="48"/>
      <c r="AD253" s="48"/>
      <c r="AE253" s="48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3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3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B260" s="1"/>
      <c r="C260" s="129" t="s">
        <v>54</v>
      </c>
      <c r="D260" s="2"/>
      <c r="E260" s="2"/>
      <c r="F260" s="2"/>
      <c r="G260" s="2"/>
      <c r="H260" s="2"/>
      <c r="I260" s="129" t="s">
        <v>55</v>
      </c>
      <c r="J260" s="2"/>
      <c r="K260" s="2"/>
      <c r="L260" s="2"/>
      <c r="M260" s="2"/>
      <c r="N260" s="2"/>
      <c r="O260" s="182" t="s">
        <v>57</v>
      </c>
      <c r="P260" s="42"/>
      <c r="Q260" s="42"/>
      <c r="R260" s="42"/>
      <c r="S260" s="4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C261" s="7" t="str">
        <f t="array" ref="C261:G265">G243:K247</f>
        <v>#VALUE!</v>
      </c>
      <c r="D261" s="8"/>
      <c r="E261" s="8"/>
      <c r="F261" s="8"/>
      <c r="G261" s="9"/>
      <c r="H261" s="2"/>
      <c r="I261" s="7" t="str">
        <f t="array" ref="I261:M265">V243:Z247</f>
        <v>#VALUE!</v>
      </c>
      <c r="J261" s="8"/>
      <c r="K261" s="8"/>
      <c r="L261" s="8"/>
      <c r="M261" s="9"/>
      <c r="N261" s="2"/>
      <c r="O261" s="183">
        <f t="shared" ref="O261:S261" si="71">NORMINV(rand(),0,2)</f>
        <v>-3.483688377</v>
      </c>
      <c r="P261" s="122">
        <f t="shared" si="71"/>
        <v>1.928879679</v>
      </c>
      <c r="Q261" s="122">
        <f t="shared" si="71"/>
        <v>-4.5460102</v>
      </c>
      <c r="R261" s="122">
        <f t="shared" si="71"/>
        <v>-0.03469274911</v>
      </c>
      <c r="S261" s="184">
        <f t="shared" si="71"/>
        <v>0.2508577196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B262" s="2"/>
      <c r="C262" s="11"/>
      <c r="D262" s="10"/>
      <c r="E262" s="10"/>
      <c r="F262" s="10"/>
      <c r="G262" s="12"/>
      <c r="H262" s="2"/>
      <c r="I262" s="11"/>
      <c r="J262" s="10"/>
      <c r="K262" s="10"/>
      <c r="L262" s="10"/>
      <c r="M262" s="12"/>
      <c r="N262" s="21" t="s">
        <v>58</v>
      </c>
      <c r="O262" s="185">
        <f t="shared" ref="O262:S262" si="72">NORMINV(rand(),0,2)</f>
        <v>0.1326367407</v>
      </c>
      <c r="P262" s="186">
        <f t="shared" si="72"/>
        <v>0.85569208</v>
      </c>
      <c r="Q262" s="186">
        <f t="shared" si="72"/>
        <v>-1.276417109</v>
      </c>
      <c r="R262" s="186">
        <f t="shared" si="72"/>
        <v>-3.010515855</v>
      </c>
      <c r="S262" s="187">
        <f t="shared" si="72"/>
        <v>-0.370430124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B263" s="2"/>
      <c r="C263" s="11"/>
      <c r="D263" s="10"/>
      <c r="E263" s="10"/>
      <c r="F263" s="10"/>
      <c r="G263" s="12"/>
      <c r="H263" s="2"/>
      <c r="I263" s="11"/>
      <c r="J263" s="10"/>
      <c r="K263" s="10"/>
      <c r="L263" s="10"/>
      <c r="M263" s="12"/>
      <c r="N263" s="2"/>
      <c r="O263" s="185">
        <f t="shared" ref="O263:S263" si="73">NORMINV(rand(),0,2)</f>
        <v>-1.123816371</v>
      </c>
      <c r="P263" s="186">
        <f t="shared" si="73"/>
        <v>-2.864001838</v>
      </c>
      <c r="Q263" s="186">
        <f t="shared" si="73"/>
        <v>-1.1305491</v>
      </c>
      <c r="R263" s="186">
        <f t="shared" si="73"/>
        <v>0.05332981032</v>
      </c>
      <c r="S263" s="187">
        <f t="shared" si="73"/>
        <v>1.066633053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B264" s="2"/>
      <c r="C264" s="11"/>
      <c r="D264" s="10"/>
      <c r="E264" s="10"/>
      <c r="F264" s="10"/>
      <c r="G264" s="12"/>
      <c r="H264" s="2"/>
      <c r="I264" s="11"/>
      <c r="J264" s="10"/>
      <c r="K264" s="10"/>
      <c r="L264" s="10"/>
      <c r="M264" s="12"/>
      <c r="N264" s="2"/>
      <c r="O264" s="185">
        <f t="shared" ref="O264:S264" si="74">NORMINV(rand(),0,2)</f>
        <v>0.3922757061</v>
      </c>
      <c r="P264" s="186">
        <f t="shared" si="74"/>
        <v>2.240470044</v>
      </c>
      <c r="Q264" s="186">
        <f t="shared" si="74"/>
        <v>-1.196049847</v>
      </c>
      <c r="R264" s="186">
        <f t="shared" si="74"/>
        <v>1.784838207</v>
      </c>
      <c r="S264" s="187">
        <f t="shared" si="74"/>
        <v>-2.288327408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B265" s="2"/>
      <c r="C265" s="13"/>
      <c r="D265" s="14"/>
      <c r="E265" s="14"/>
      <c r="F265" s="14"/>
      <c r="G265" s="15"/>
      <c r="H265" s="2"/>
      <c r="I265" s="13"/>
      <c r="J265" s="14"/>
      <c r="K265" s="14"/>
      <c r="L265" s="14"/>
      <c r="M265" s="15"/>
      <c r="N265" s="2"/>
      <c r="O265" s="188">
        <f t="shared" ref="O265:S265" si="75">NORMINV(rand(),0,2)</f>
        <v>0.1501764171</v>
      </c>
      <c r="P265" s="189">
        <f t="shared" si="75"/>
        <v>-2.185641697</v>
      </c>
      <c r="Q265" s="189">
        <f t="shared" si="75"/>
        <v>-1.096340661</v>
      </c>
      <c r="R265" s="189">
        <f t="shared" si="75"/>
        <v>0.6673176674</v>
      </c>
      <c r="S265" s="190">
        <f t="shared" si="75"/>
        <v>0.4293487648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B266" s="1"/>
      <c r="C266" s="2"/>
      <c r="D266" s="2"/>
      <c r="E266" s="2"/>
      <c r="F266" s="2"/>
      <c r="G266" s="98" t="s">
        <v>3</v>
      </c>
      <c r="H266" s="2"/>
      <c r="I266" s="2"/>
      <c r="J266" s="2"/>
      <c r="K266" s="67" t="s">
        <v>3</v>
      </c>
      <c r="L266" s="2"/>
      <c r="M266" s="2"/>
      <c r="N266" s="2"/>
      <c r="O266" s="3"/>
      <c r="P266" s="67" t="s">
        <v>3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B267" s="1"/>
      <c r="C267" s="2"/>
      <c r="D267" s="2"/>
      <c r="E267" s="2"/>
      <c r="F267" s="2"/>
      <c r="G267" s="98" t="s">
        <v>3</v>
      </c>
      <c r="H267" s="2"/>
      <c r="I267" s="2"/>
      <c r="J267" s="2"/>
      <c r="K267" s="67" t="s">
        <v>3</v>
      </c>
      <c r="L267" s="2"/>
      <c r="M267" s="2"/>
      <c r="N267" s="2"/>
      <c r="O267" s="3"/>
      <c r="P267" s="67" t="s">
        <v>3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B268" s="1"/>
      <c r="C268" s="2"/>
      <c r="D268" s="66" t="s">
        <v>59</v>
      </c>
      <c r="E268" s="7" t="str">
        <f t="array" ref="E268:I272">C261:G265</f>
        <v>#VALUE!</v>
      </c>
      <c r="F268" s="8"/>
      <c r="G268" s="8"/>
      <c r="H268" s="8"/>
      <c r="I268" s="8"/>
      <c r="J268" s="7" t="str">
        <f t="array" ref="J268:N272">I261:M265</f>
        <v>#VALUE!</v>
      </c>
      <c r="K268" s="8"/>
      <c r="L268" s="8"/>
      <c r="M268" s="8"/>
      <c r="N268" s="8"/>
      <c r="O268" s="7">
        <f t="array" ref="O268:S272">O261:S265</f>
        <v>-3.483688377</v>
      </c>
      <c r="P268" s="8">
        <v>1.9288796790390217</v>
      </c>
      <c r="Q268" s="8">
        <v>-4.546010200493563</v>
      </c>
      <c r="R268" s="8">
        <v>-0.03469274911239774</v>
      </c>
      <c r="S268" s="9">
        <v>0.25085771955256647</v>
      </c>
      <c r="T268" s="2"/>
      <c r="U268" s="2"/>
      <c r="AB268" s="2"/>
      <c r="AC268" s="2"/>
      <c r="AD268" s="2"/>
      <c r="AE268" s="2"/>
    </row>
    <row r="269">
      <c r="B269" s="1"/>
      <c r="C269" s="2"/>
      <c r="D269" s="2"/>
      <c r="E269" s="11"/>
      <c r="F269" s="10"/>
      <c r="G269" s="10"/>
      <c r="H269" s="10"/>
      <c r="I269" s="10"/>
      <c r="J269" s="11"/>
      <c r="K269" s="10"/>
      <c r="L269" s="10"/>
      <c r="M269" s="10"/>
      <c r="N269" s="10"/>
      <c r="O269" s="11">
        <v>0.13263674071560852</v>
      </c>
      <c r="P269" s="10">
        <v>0.8556920800398717</v>
      </c>
      <c r="Q269" s="10">
        <v>-1.2764171088664396</v>
      </c>
      <c r="R269" s="10">
        <v>-3.010515854611348</v>
      </c>
      <c r="S269" s="12">
        <v>-0.3704301240151755</v>
      </c>
      <c r="T269" s="2"/>
      <c r="U269" s="2"/>
      <c r="AB269" s="2"/>
      <c r="AC269" s="2"/>
      <c r="AD269" s="2"/>
      <c r="AE269" s="2"/>
    </row>
    <row r="270">
      <c r="B270" s="1"/>
      <c r="C270" s="2"/>
      <c r="D270" s="2"/>
      <c r="E270" s="11"/>
      <c r="F270" s="10"/>
      <c r="G270" s="10"/>
      <c r="H270" s="10"/>
      <c r="I270" s="10"/>
      <c r="J270" s="11"/>
      <c r="K270" s="10"/>
      <c r="L270" s="10"/>
      <c r="M270" s="10"/>
      <c r="N270" s="10"/>
      <c r="O270" s="11">
        <v>-1.1238163707901194</v>
      </c>
      <c r="P270" s="10">
        <v>-2.8640018375977103</v>
      </c>
      <c r="Q270" s="10">
        <v>-1.1305490997169654</v>
      </c>
      <c r="R270" s="10">
        <v>0.0533298103248274</v>
      </c>
      <c r="S270" s="12">
        <v>1.0666330530059345</v>
      </c>
      <c r="T270" s="2"/>
      <c r="U270" s="2"/>
      <c r="AB270" s="2"/>
      <c r="AC270" s="2"/>
      <c r="AD270" s="2"/>
      <c r="AE270" s="2"/>
    </row>
    <row r="271">
      <c r="B271" s="1"/>
      <c r="C271" s="2"/>
      <c r="D271" s="2"/>
      <c r="E271" s="11"/>
      <c r="F271" s="10"/>
      <c r="G271" s="10"/>
      <c r="H271" s="10"/>
      <c r="I271" s="10"/>
      <c r="J271" s="11"/>
      <c r="K271" s="10"/>
      <c r="L271" s="10"/>
      <c r="M271" s="10"/>
      <c r="N271" s="10"/>
      <c r="O271" s="11">
        <v>0.39227570605675793</v>
      </c>
      <c r="P271" s="10">
        <v>2.240470044325242</v>
      </c>
      <c r="Q271" s="10">
        <v>-1.1960498473800987</v>
      </c>
      <c r="R271" s="10">
        <v>1.7848382071374445</v>
      </c>
      <c r="S271" s="12">
        <v>-2.2883274078783447</v>
      </c>
      <c r="T271" s="2"/>
      <c r="U271" s="2"/>
      <c r="AB271" s="2"/>
      <c r="AC271" s="2"/>
      <c r="AD271" s="2"/>
      <c r="AE271" s="2"/>
    </row>
    <row r="272">
      <c r="B272" s="1"/>
      <c r="C272" s="2"/>
      <c r="D272" s="2"/>
      <c r="E272" s="13"/>
      <c r="F272" s="14"/>
      <c r="G272" s="14"/>
      <c r="H272" s="14"/>
      <c r="I272" s="14"/>
      <c r="J272" s="13"/>
      <c r="K272" s="14"/>
      <c r="L272" s="14"/>
      <c r="M272" s="14"/>
      <c r="N272" s="14"/>
      <c r="O272" s="13">
        <v>0.15017641714475918</v>
      </c>
      <c r="P272" s="14">
        <v>-2.1856416971769215</v>
      </c>
      <c r="Q272" s="14">
        <v>-1.096340660922278</v>
      </c>
      <c r="R272" s="14">
        <v>0.667317667384432</v>
      </c>
      <c r="S272" s="15">
        <v>0.4293487648284459</v>
      </c>
      <c r="T272" s="2"/>
      <c r="U272" s="2"/>
      <c r="AB272" s="2"/>
      <c r="AC272" s="2"/>
      <c r="AD272" s="2"/>
      <c r="AE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67" t="s">
        <v>3</v>
      </c>
      <c r="O273" s="3"/>
      <c r="P273" s="2"/>
      <c r="Q273" s="2"/>
      <c r="R273" s="2"/>
      <c r="S273" s="2"/>
      <c r="T273" s="2"/>
      <c r="U273" s="2"/>
      <c r="AB273" s="2"/>
      <c r="AC273" s="2"/>
      <c r="AD273" s="2"/>
      <c r="AE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67" t="s">
        <v>3</v>
      </c>
      <c r="O274" s="3"/>
      <c r="P274" s="2"/>
      <c r="Q274" s="2"/>
      <c r="R274" s="2"/>
      <c r="S274" s="2"/>
      <c r="T274" s="2"/>
      <c r="U274" s="2"/>
      <c r="AB274" s="2"/>
      <c r="AC274" s="2"/>
      <c r="AD274" s="2"/>
      <c r="AE274" s="2"/>
    </row>
    <row r="275">
      <c r="B275" s="1"/>
      <c r="C275" s="2"/>
      <c r="D275" s="66" t="s">
        <v>60</v>
      </c>
      <c r="E275" s="7">
        <f t="shared" ref="E275:I275" si="76">NORMINV(rand(),0, 1)</f>
        <v>0.2579840909</v>
      </c>
      <c r="F275" s="8">
        <f t="shared" si="76"/>
        <v>-0.2464225138</v>
      </c>
      <c r="G275" s="8">
        <f t="shared" si="76"/>
        <v>0.4177031234</v>
      </c>
      <c r="H275" s="8">
        <f t="shared" si="76"/>
        <v>0.491438503</v>
      </c>
      <c r="I275" s="9">
        <f t="shared" si="76"/>
        <v>-0.06561186072</v>
      </c>
      <c r="J275" s="2"/>
      <c r="K275" s="66" t="s">
        <v>61</v>
      </c>
      <c r="L275" s="191" t="s">
        <v>62</v>
      </c>
      <c r="M275" s="8"/>
      <c r="N275" s="8"/>
      <c r="O275" s="8"/>
      <c r="P275" s="9"/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  <c r="AD275" s="2"/>
      <c r="AE275" s="2"/>
    </row>
    <row r="276">
      <c r="B276" s="1"/>
      <c r="C276" s="2"/>
      <c r="D276" s="2"/>
      <c r="E276" s="11">
        <f t="shared" ref="E276:I276" si="77">NORMINV(rand(),0, 1)</f>
        <v>0.6486012731</v>
      </c>
      <c r="F276" s="10">
        <f t="shared" si="77"/>
        <v>1.221697645</v>
      </c>
      <c r="G276" s="10">
        <f t="shared" si="77"/>
        <v>-0.1480554004</v>
      </c>
      <c r="H276" s="10">
        <f t="shared" si="77"/>
        <v>-0.6092882491</v>
      </c>
      <c r="I276" s="12">
        <f t="shared" si="77"/>
        <v>0.3022001957</v>
      </c>
      <c r="J276" s="2"/>
      <c r="K276" s="2"/>
      <c r="L276" s="11"/>
      <c r="M276" s="10"/>
      <c r="N276" s="10"/>
      <c r="O276" s="10"/>
      <c r="P276" s="12"/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  <c r="AD276" s="2"/>
      <c r="AE276" s="2"/>
    </row>
    <row r="277">
      <c r="B277" s="1"/>
      <c r="C277" s="2"/>
      <c r="D277" s="2"/>
      <c r="E277" s="11">
        <f t="shared" ref="E277:I277" si="78">NORMINV(rand(),0, 1)</f>
        <v>-0.2717466772</v>
      </c>
      <c r="F277" s="10">
        <f t="shared" si="78"/>
        <v>-1.4488596</v>
      </c>
      <c r="G277" s="10">
        <f t="shared" si="78"/>
        <v>1.162188837</v>
      </c>
      <c r="H277" s="10">
        <f t="shared" si="78"/>
        <v>0.02140548445</v>
      </c>
      <c r="I277" s="12">
        <f t="shared" si="78"/>
        <v>-0.8623986398</v>
      </c>
      <c r="J277" s="67" t="s">
        <v>7</v>
      </c>
      <c r="K277" s="67" t="s">
        <v>7</v>
      </c>
      <c r="L277" s="11"/>
      <c r="M277" s="10"/>
      <c r="N277" s="10"/>
      <c r="O277" s="10"/>
      <c r="P277" s="12"/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  <c r="AD277" s="2"/>
      <c r="AE277" s="2"/>
    </row>
    <row r="278">
      <c r="B278" s="1"/>
      <c r="C278" s="2"/>
      <c r="D278" s="2"/>
      <c r="E278" s="11">
        <f t="shared" ref="E278:I278" si="79">NORMINV(rand(),0, 1)</f>
        <v>0.6606044268</v>
      </c>
      <c r="F278" s="10">
        <f t="shared" si="79"/>
        <v>-1.933274442</v>
      </c>
      <c r="G278" s="10">
        <f t="shared" si="79"/>
        <v>-1.51855309</v>
      </c>
      <c r="H278" s="10">
        <f t="shared" si="79"/>
        <v>-0.1451483232</v>
      </c>
      <c r="I278" s="12">
        <f t="shared" si="79"/>
        <v>-0.8507469617</v>
      </c>
      <c r="J278" s="2"/>
      <c r="K278" s="2"/>
      <c r="L278" s="11"/>
      <c r="M278" s="10"/>
      <c r="N278" s="10"/>
      <c r="O278" s="10"/>
      <c r="P278" s="12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  <c r="AD278" s="2"/>
      <c r="AE278" s="2"/>
    </row>
    <row r="279">
      <c r="B279" s="1"/>
      <c r="C279" s="2"/>
      <c r="D279" s="2"/>
      <c r="E279" s="11">
        <f t="shared" ref="E279:I279" si="80">NORMINV(rand(),0, 1)</f>
        <v>0.2407374978</v>
      </c>
      <c r="F279" s="10">
        <f t="shared" si="80"/>
        <v>-0.281781025</v>
      </c>
      <c r="G279" s="10">
        <f t="shared" si="80"/>
        <v>1.088506035</v>
      </c>
      <c r="H279" s="10">
        <f t="shared" si="80"/>
        <v>1.129134667</v>
      </c>
      <c r="I279" s="12">
        <f t="shared" si="80"/>
        <v>0.2188335265</v>
      </c>
      <c r="J279" s="2"/>
      <c r="K279" s="2"/>
      <c r="L279" s="13"/>
      <c r="M279" s="14"/>
      <c r="N279" s="14"/>
      <c r="O279" s="14"/>
      <c r="P279" s="15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  <c r="AD279" s="2"/>
      <c r="AE279" s="2"/>
    </row>
    <row r="280">
      <c r="B280" s="1"/>
      <c r="C280" s="2"/>
      <c r="D280" s="2"/>
      <c r="E280" s="11">
        <f t="shared" ref="E280:I280" si="81">NORMINV(rand(),0, 1)</f>
        <v>-0.7527297991</v>
      </c>
      <c r="F280" s="10">
        <f t="shared" si="81"/>
        <v>1.542641465</v>
      </c>
      <c r="G280" s="10">
        <f t="shared" si="81"/>
        <v>-0.4270409566</v>
      </c>
      <c r="H280" s="10">
        <f t="shared" si="81"/>
        <v>0.5378017835</v>
      </c>
      <c r="I280" s="12">
        <f t="shared" si="81"/>
        <v>0.3004127222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92"/>
      <c r="W280" s="192"/>
      <c r="X280" s="192"/>
      <c r="Y280" s="192"/>
      <c r="Z280" s="192"/>
      <c r="AB280" s="2"/>
      <c r="AC280" s="2"/>
      <c r="AD280" s="2"/>
      <c r="AE280" s="2"/>
    </row>
    <row r="281">
      <c r="B281" s="1"/>
      <c r="C281" s="2"/>
      <c r="D281" s="2"/>
      <c r="E281" s="11">
        <f t="shared" ref="E281:I281" si="82">NORMINV(rand(),0, 1)</f>
        <v>0.09699852611</v>
      </c>
      <c r="F281" s="10">
        <f t="shared" si="82"/>
        <v>-0.07569297161</v>
      </c>
      <c r="G281" s="10">
        <f t="shared" si="82"/>
        <v>0.1402995723</v>
      </c>
      <c r="H281" s="10">
        <f t="shared" si="82"/>
        <v>-0.1674547946</v>
      </c>
      <c r="I281" s="12">
        <f t="shared" si="82"/>
        <v>-1.223462067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92"/>
      <c r="W281" s="192"/>
      <c r="X281" s="192"/>
      <c r="Y281" s="192"/>
      <c r="Z281" s="192"/>
      <c r="AB281" s="2"/>
      <c r="AC281" s="2"/>
      <c r="AD281" s="2"/>
      <c r="AE281" s="2"/>
    </row>
    <row r="282">
      <c r="B282" s="1"/>
      <c r="C282" s="2"/>
      <c r="D282" s="2"/>
      <c r="E282" s="11">
        <f t="shared" ref="E282:I282" si="83">NORMINV(rand(),0, 1)</f>
        <v>0.1748536744</v>
      </c>
      <c r="F282" s="10">
        <f t="shared" si="83"/>
        <v>0.4420133319</v>
      </c>
      <c r="G282" s="10">
        <f t="shared" si="83"/>
        <v>0.5447747367</v>
      </c>
      <c r="H282" s="10">
        <f t="shared" si="83"/>
        <v>-1.016866264</v>
      </c>
      <c r="I282" s="12">
        <f t="shared" si="83"/>
        <v>-0.9508256993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  <c r="AD282" s="2"/>
      <c r="AE282" s="2"/>
    </row>
    <row r="283">
      <c r="B283" s="1"/>
      <c r="C283" s="2"/>
      <c r="D283" s="2"/>
      <c r="E283" s="11">
        <f t="shared" ref="E283:I283" si="84">NORMINV(rand(),0, 1)</f>
        <v>1.732338742</v>
      </c>
      <c r="F283" s="10">
        <f t="shared" si="84"/>
        <v>-1.575633792</v>
      </c>
      <c r="G283" s="10">
        <f t="shared" si="84"/>
        <v>0.9558049866</v>
      </c>
      <c r="H283" s="10">
        <f t="shared" si="84"/>
        <v>-0.3216283228</v>
      </c>
      <c r="I283" s="12">
        <f t="shared" si="84"/>
        <v>-1.15150396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  <c r="AD283" s="2"/>
      <c r="AE283" s="2"/>
    </row>
    <row r="284">
      <c r="B284" s="1"/>
      <c r="C284" s="2"/>
      <c r="D284" s="2"/>
      <c r="E284" s="11">
        <f t="shared" ref="E284:I284" si="85">NORMINV(rand(),0, 1)</f>
        <v>-1.515963383</v>
      </c>
      <c r="F284" s="10">
        <f t="shared" si="85"/>
        <v>1.189666743</v>
      </c>
      <c r="G284" s="10">
        <f t="shared" si="85"/>
        <v>0.45650261</v>
      </c>
      <c r="H284" s="10">
        <f t="shared" si="85"/>
        <v>0.9748834654</v>
      </c>
      <c r="I284" s="12">
        <f t="shared" si="85"/>
        <v>1.975600522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  <c r="AD284" s="2"/>
      <c r="AE284" s="2"/>
    </row>
    <row r="285">
      <c r="B285" s="1"/>
      <c r="C285" s="2"/>
      <c r="D285" s="2"/>
      <c r="E285" s="11">
        <f t="shared" ref="E285:I285" si="86">NORMINV(rand(),0, 1)</f>
        <v>-1.832417559</v>
      </c>
      <c r="F285" s="10">
        <f t="shared" si="86"/>
        <v>1.243474152</v>
      </c>
      <c r="G285" s="10">
        <f t="shared" si="86"/>
        <v>-0.7614645035</v>
      </c>
      <c r="H285" s="10">
        <f t="shared" si="86"/>
        <v>-0.5631005421</v>
      </c>
      <c r="I285" s="12">
        <f t="shared" si="86"/>
        <v>-0.3001641544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  <c r="AD285" s="2"/>
      <c r="AE285" s="2"/>
    </row>
    <row r="286">
      <c r="B286" s="1"/>
      <c r="C286" s="2"/>
      <c r="D286" s="2"/>
      <c r="E286" s="11">
        <f t="shared" ref="E286:I286" si="87">NORMINV(rand(),0, 1)</f>
        <v>0.05900372116</v>
      </c>
      <c r="F286" s="10">
        <f t="shared" si="87"/>
        <v>0.1260720882</v>
      </c>
      <c r="G286" s="10">
        <f t="shared" si="87"/>
        <v>1.286887405</v>
      </c>
      <c r="H286" s="10">
        <f t="shared" si="87"/>
        <v>-1.133607153</v>
      </c>
      <c r="I286" s="12">
        <f t="shared" si="87"/>
        <v>0.5432970724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  <c r="AD286" s="2"/>
      <c r="AE286" s="2"/>
    </row>
    <row r="287">
      <c r="B287" s="1"/>
      <c r="C287" s="2"/>
      <c r="D287" s="2"/>
      <c r="E287" s="11">
        <f t="shared" ref="E287:I287" si="88">NORMINV(rand(),0, 1)</f>
        <v>-2.279616914</v>
      </c>
      <c r="F287" s="10">
        <f t="shared" si="88"/>
        <v>-0.850069464</v>
      </c>
      <c r="G287" s="10">
        <f t="shared" si="88"/>
        <v>0.6678850978</v>
      </c>
      <c r="H287" s="10">
        <f t="shared" si="88"/>
        <v>0.02285334801</v>
      </c>
      <c r="I287" s="12">
        <f t="shared" si="88"/>
        <v>-1.562007013</v>
      </c>
      <c r="J287" s="2"/>
      <c r="K287" s="2"/>
      <c r="L287" s="10"/>
      <c r="M287" s="10"/>
      <c r="N287" s="10"/>
      <c r="O287" s="18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2"/>
      <c r="AB287" s="2"/>
      <c r="AC287" s="2"/>
      <c r="AD287" s="2"/>
      <c r="AE287" s="2"/>
    </row>
    <row r="288">
      <c r="B288" s="1"/>
      <c r="C288" s="2"/>
      <c r="D288" s="2"/>
      <c r="E288" s="11">
        <f t="shared" ref="E288:I288" si="89">NORMINV(rand(),0, 1)</f>
        <v>1.670797104</v>
      </c>
      <c r="F288" s="10">
        <f t="shared" si="89"/>
        <v>-0.5201533761</v>
      </c>
      <c r="G288" s="10">
        <f t="shared" si="89"/>
        <v>0.3736730507</v>
      </c>
      <c r="H288" s="10">
        <f t="shared" si="89"/>
        <v>0.7129310544</v>
      </c>
      <c r="I288" s="12">
        <f t="shared" si="89"/>
        <v>0.6787935417</v>
      </c>
      <c r="J288" s="2"/>
      <c r="K288" s="2"/>
      <c r="L288" s="10"/>
      <c r="M288" s="10"/>
      <c r="N288" s="10"/>
      <c r="O288" s="18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2"/>
      <c r="AB288" s="2"/>
      <c r="AC288" s="2"/>
      <c r="AD288" s="2"/>
      <c r="AE288" s="2"/>
    </row>
    <row r="289">
      <c r="B289" s="1"/>
      <c r="C289" s="2"/>
      <c r="D289" s="2"/>
      <c r="E289" s="13">
        <f t="shared" ref="E289:I289" si="90">NORMINV(rand(),0, 1)</f>
        <v>0.3717578198</v>
      </c>
      <c r="F289" s="14">
        <f t="shared" si="90"/>
        <v>0.5113371639</v>
      </c>
      <c r="G289" s="14">
        <f t="shared" si="90"/>
        <v>0.7446933833</v>
      </c>
      <c r="H289" s="14">
        <f t="shared" si="90"/>
        <v>-1.347494535</v>
      </c>
      <c r="I289" s="15">
        <f t="shared" si="90"/>
        <v>1.560808034</v>
      </c>
      <c r="J289" s="2"/>
      <c r="K289" s="2"/>
      <c r="L289" s="2"/>
      <c r="M289" s="2"/>
      <c r="N289" s="2"/>
      <c r="O289" s="3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47" t="s">
        <v>63</v>
      </c>
      <c r="AA291" s="48"/>
      <c r="AB291" s="48"/>
      <c r="AC291" s="48"/>
      <c r="AD291" s="48"/>
      <c r="AE291" s="48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3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B293" s="1"/>
      <c r="C293" s="2"/>
      <c r="D293" s="2"/>
      <c r="E293" s="2"/>
      <c r="F293" s="2"/>
      <c r="G293" s="2"/>
      <c r="H293" s="2"/>
      <c r="L293" s="6" t="s">
        <v>1</v>
      </c>
      <c r="M293" s="7">
        <f t="array" ref="M293:Q297">$J$14:$N$18</f>
        <v>0.6765098384</v>
      </c>
      <c r="N293" s="8">
        <v>0.3900435706539263</v>
      </c>
      <c r="O293" s="8">
        <v>0.6560576379180516</v>
      </c>
      <c r="P293" s="8">
        <v>0.6484830075375</v>
      </c>
      <c r="Q293" s="9">
        <v>-0.6153617510774058</v>
      </c>
      <c r="U293" s="2"/>
      <c r="X293" s="34" t="s">
        <v>28</v>
      </c>
      <c r="Y293" s="49">
        <v>0.0</v>
      </c>
      <c r="Z293" s="50">
        <v>-99.0</v>
      </c>
      <c r="AA293" s="50">
        <v>-99.0</v>
      </c>
      <c r="AB293" s="50">
        <v>-99.0</v>
      </c>
      <c r="AC293" s="51">
        <v>-99.0</v>
      </c>
      <c r="AD293" s="57"/>
      <c r="AE293" s="57"/>
    </row>
    <row r="294">
      <c r="B294" s="1"/>
      <c r="C294" s="2"/>
      <c r="D294" s="2"/>
      <c r="E294" s="2"/>
      <c r="F294" s="2"/>
      <c r="G294" s="2"/>
      <c r="H294" s="2"/>
      <c r="L294" s="6" t="s">
        <v>2</v>
      </c>
      <c r="M294" s="11">
        <v>0.8287031585550959</v>
      </c>
      <c r="N294" s="10">
        <v>-0.5813004796044884</v>
      </c>
      <c r="O294" s="10">
        <v>0.30989795018561683</v>
      </c>
      <c r="P294" s="10">
        <v>0.18504368281388203</v>
      </c>
      <c r="Q294" s="12">
        <v>0.5926404808432721</v>
      </c>
      <c r="U294" s="2"/>
      <c r="X294" s="34" t="s">
        <v>31</v>
      </c>
      <c r="Y294" s="55">
        <v>0.0</v>
      </c>
      <c r="Z294" s="56">
        <v>0.0</v>
      </c>
      <c r="AA294" s="57">
        <v>-99.0</v>
      </c>
      <c r="AB294" s="57">
        <v>-99.0</v>
      </c>
      <c r="AC294" s="58">
        <v>-99.0</v>
      </c>
      <c r="AD294" s="57"/>
      <c r="AE294" s="57"/>
    </row>
    <row r="295">
      <c r="B295" s="1"/>
      <c r="C295" s="2"/>
      <c r="D295" s="2"/>
      <c r="E295" s="99"/>
      <c r="F295" s="99"/>
      <c r="G295" s="99" t="s">
        <v>41</v>
      </c>
      <c r="H295" s="99" t="s">
        <v>41</v>
      </c>
      <c r="I295" s="99" t="s">
        <v>41</v>
      </c>
      <c r="J295" s="99" t="s">
        <v>41</v>
      </c>
      <c r="K295" s="99" t="s">
        <v>41</v>
      </c>
      <c r="L295" s="99" t="s">
        <v>41</v>
      </c>
      <c r="M295" s="11">
        <v>0.8474363202816402</v>
      </c>
      <c r="N295" s="10">
        <v>0.028253217432117755</v>
      </c>
      <c r="O295" s="10">
        <v>-0.5292973525455772</v>
      </c>
      <c r="P295" s="10">
        <v>0.3329222659064594</v>
      </c>
      <c r="Q295" s="12">
        <v>0.40900880798366646</v>
      </c>
      <c r="R295" s="100" t="s">
        <v>7</v>
      </c>
      <c r="S295" s="100" t="s">
        <v>7</v>
      </c>
      <c r="T295" s="100" t="s">
        <v>7</v>
      </c>
      <c r="U295" s="100" t="s">
        <v>7</v>
      </c>
      <c r="V295" s="100" t="s">
        <v>7</v>
      </c>
      <c r="W295" s="100" t="s">
        <v>7</v>
      </c>
      <c r="X295" s="42"/>
      <c r="Y295" s="55">
        <v>0.0</v>
      </c>
      <c r="Z295" s="56">
        <v>0.0</v>
      </c>
      <c r="AA295" s="56">
        <v>0.0</v>
      </c>
      <c r="AB295" s="57">
        <v>-99.0</v>
      </c>
      <c r="AC295" s="58">
        <v>-99.0</v>
      </c>
      <c r="AD295" s="57"/>
      <c r="AE295" s="57"/>
    </row>
    <row r="296">
      <c r="B296" s="1"/>
      <c r="C296" s="2"/>
      <c r="D296" s="2"/>
      <c r="F296" s="2"/>
      <c r="G296" s="21" t="s">
        <v>3</v>
      </c>
      <c r="H296" s="2"/>
      <c r="L296" s="1"/>
      <c r="M296" s="11">
        <v>0.4079979777424646</v>
      </c>
      <c r="N296" s="10">
        <v>-0.4338066277135132</v>
      </c>
      <c r="O296" s="10">
        <v>-0.390173608911219</v>
      </c>
      <c r="P296" s="10">
        <v>-1.1718958664913244</v>
      </c>
      <c r="Q296" s="12">
        <v>0.2876326565106208</v>
      </c>
      <c r="U296" s="21"/>
      <c r="W296" s="21" t="s">
        <v>3</v>
      </c>
      <c r="X296" s="42"/>
      <c r="Y296" s="55">
        <v>0.0</v>
      </c>
      <c r="Z296" s="56">
        <v>0.0</v>
      </c>
      <c r="AA296" s="56">
        <v>0.0</v>
      </c>
      <c r="AB296" s="56">
        <v>0.0</v>
      </c>
      <c r="AC296" s="58">
        <v>-99.0</v>
      </c>
      <c r="AD296" s="57"/>
      <c r="AE296" s="57"/>
    </row>
    <row r="297">
      <c r="B297" s="1"/>
      <c r="C297" s="2"/>
      <c r="D297" s="2"/>
      <c r="F297" s="2"/>
      <c r="G297" s="21" t="s">
        <v>3</v>
      </c>
      <c r="H297" s="2"/>
      <c r="L297" s="1"/>
      <c r="M297" s="13">
        <v>-2.3412513971915225</v>
      </c>
      <c r="N297" s="14">
        <v>-0.29134146473670164</v>
      </c>
      <c r="O297" s="14">
        <v>-0.25323995067290805</v>
      </c>
      <c r="P297" s="14">
        <v>0.25340974314570663</v>
      </c>
      <c r="Q297" s="15">
        <v>-1.1204127185943555</v>
      </c>
      <c r="U297" s="21"/>
      <c r="W297" s="21" t="s">
        <v>3</v>
      </c>
      <c r="X297" s="42"/>
      <c r="Y297" s="62">
        <v>0.0</v>
      </c>
      <c r="Z297" s="63">
        <v>0.0</v>
      </c>
      <c r="AA297" s="63">
        <v>0.0</v>
      </c>
      <c r="AB297" s="63">
        <v>0.0</v>
      </c>
      <c r="AC297" s="64">
        <v>0.0</v>
      </c>
      <c r="AD297" s="56"/>
      <c r="AE297" s="56"/>
    </row>
    <row r="298">
      <c r="B298" s="1"/>
      <c r="C298" s="2"/>
      <c r="D298" s="2"/>
      <c r="F298" s="2"/>
      <c r="G298" s="21" t="s">
        <v>3</v>
      </c>
      <c r="H298" s="2"/>
      <c r="J298" s="2"/>
      <c r="K298" s="2"/>
      <c r="L298" s="2"/>
      <c r="M298" s="2"/>
      <c r="N298" s="2"/>
      <c r="O298" s="3"/>
      <c r="P298" s="2"/>
      <c r="Q298" s="2"/>
      <c r="R298" s="2"/>
      <c r="S298" s="2"/>
      <c r="T298" s="2"/>
      <c r="U298" s="21"/>
      <c r="V298" s="2"/>
      <c r="W298" s="21" t="s">
        <v>3</v>
      </c>
      <c r="X298" s="2"/>
      <c r="Y298" s="2"/>
      <c r="Z298" s="2"/>
      <c r="AA298" s="2"/>
      <c r="AB298" s="2"/>
      <c r="AC298" s="2"/>
      <c r="AD298" s="2"/>
      <c r="AE298" s="2"/>
    </row>
    <row r="299">
      <c r="B299" s="1"/>
      <c r="C299" s="2"/>
      <c r="D299" s="2"/>
      <c r="F299" s="2"/>
      <c r="G299" s="21" t="s">
        <v>3</v>
      </c>
      <c r="H299" s="2"/>
      <c r="I299" s="66" t="s">
        <v>64</v>
      </c>
      <c r="J299" s="102">
        <f t="shared" ref="J299:N299" si="91">NORMINV(rand(),0, 1)</f>
        <v>-2.750055628</v>
      </c>
      <c r="K299" s="103">
        <f t="shared" si="91"/>
        <v>0.3509765088</v>
      </c>
      <c r="L299" s="103">
        <f t="shared" si="91"/>
        <v>0.003857059076</v>
      </c>
      <c r="M299" s="103">
        <f t="shared" si="91"/>
        <v>1.116240197</v>
      </c>
      <c r="N299" s="104">
        <f t="shared" si="91"/>
        <v>0.4626089627</v>
      </c>
      <c r="O299" s="2"/>
      <c r="P299" s="66" t="s">
        <v>11</v>
      </c>
      <c r="Q299" s="105"/>
      <c r="R299" s="106"/>
      <c r="S299" s="106"/>
      <c r="T299" s="106"/>
      <c r="U299" s="107"/>
      <c r="W299" s="21" t="s">
        <v>3</v>
      </c>
      <c r="X299" s="2"/>
      <c r="Y299" s="2"/>
      <c r="Z299" s="2"/>
      <c r="AA299" s="2"/>
      <c r="AB299" s="2"/>
      <c r="AC299" s="2"/>
      <c r="AD299" s="2"/>
      <c r="AE299" s="2"/>
    </row>
    <row r="300">
      <c r="G300" s="21" t="s">
        <v>3</v>
      </c>
      <c r="I300" s="66" t="s">
        <v>65</v>
      </c>
      <c r="J300" s="109">
        <f t="shared" ref="J300:N300" si="92">NORMINV(rand(),0, 1)</f>
        <v>0.8215277737</v>
      </c>
      <c r="K300" s="85">
        <f t="shared" si="92"/>
        <v>-0.6919000586</v>
      </c>
      <c r="L300" s="85">
        <f t="shared" si="92"/>
        <v>-0.5134338775</v>
      </c>
      <c r="M300" s="85">
        <f t="shared" si="92"/>
        <v>-2.345734827</v>
      </c>
      <c r="N300" s="110">
        <f t="shared" si="92"/>
        <v>-2.417748836</v>
      </c>
      <c r="O300" s="2"/>
      <c r="P300" s="2"/>
      <c r="Q300" s="111"/>
      <c r="R300" s="108"/>
      <c r="S300" s="108"/>
      <c r="T300" s="108"/>
      <c r="U300" s="112"/>
      <c r="W300" s="21" t="s">
        <v>3</v>
      </c>
      <c r="X300" s="66"/>
      <c r="Y300" s="108"/>
      <c r="Z300" s="108"/>
      <c r="AA300" s="108"/>
      <c r="AB300" s="108"/>
      <c r="AC300" s="108"/>
      <c r="AD300" s="108"/>
      <c r="AE300" s="108"/>
    </row>
    <row r="301">
      <c r="G301" s="21" t="s">
        <v>3</v>
      </c>
      <c r="I301" s="42"/>
      <c r="J301" s="109">
        <f t="shared" ref="J301:N301" si="93">NORMINV(rand(),0, 1)</f>
        <v>-0.2377648184</v>
      </c>
      <c r="K301" s="85">
        <f t="shared" si="93"/>
        <v>-1.011988166</v>
      </c>
      <c r="L301" s="85">
        <f t="shared" si="93"/>
        <v>0.2684068239</v>
      </c>
      <c r="M301" s="85">
        <f t="shared" si="93"/>
        <v>0.3970454282</v>
      </c>
      <c r="N301" s="110">
        <f t="shared" si="93"/>
        <v>0.8930306802</v>
      </c>
      <c r="O301" s="67" t="s">
        <v>7</v>
      </c>
      <c r="P301" s="67" t="s">
        <v>7</v>
      </c>
      <c r="Q301" s="111"/>
      <c r="R301" s="108"/>
      <c r="S301" s="108"/>
      <c r="T301" s="108"/>
      <c r="U301" s="112"/>
      <c r="V301" s="21" t="s">
        <v>41</v>
      </c>
      <c r="W301" s="21" t="s">
        <v>3</v>
      </c>
      <c r="X301" s="2"/>
      <c r="Y301" s="108"/>
      <c r="Z301" s="108"/>
      <c r="AA301" s="108"/>
      <c r="AB301" s="108"/>
      <c r="AC301" s="108"/>
      <c r="AD301" s="108"/>
      <c r="AE301" s="108"/>
    </row>
    <row r="302">
      <c r="G302" s="21" t="s">
        <v>3</v>
      </c>
      <c r="I302" s="42"/>
      <c r="J302" s="109">
        <f t="shared" ref="J302:N302" si="94">NORMINV(rand(),0, 1)</f>
        <v>-0.3925867455</v>
      </c>
      <c r="K302" s="85">
        <f t="shared" si="94"/>
        <v>-1.265975554</v>
      </c>
      <c r="L302" s="85">
        <f t="shared" si="94"/>
        <v>-0.8276965045</v>
      </c>
      <c r="M302" s="85">
        <f t="shared" si="94"/>
        <v>1.046842757</v>
      </c>
      <c r="N302" s="110">
        <f t="shared" si="94"/>
        <v>0.9831018571</v>
      </c>
      <c r="O302" s="2"/>
      <c r="P302" s="2"/>
      <c r="Q302" s="111"/>
      <c r="R302" s="108"/>
      <c r="S302" s="108"/>
      <c r="T302" s="108"/>
      <c r="U302" s="112"/>
      <c r="W302" s="21" t="s">
        <v>3</v>
      </c>
      <c r="X302" s="67"/>
      <c r="Y302" s="108"/>
      <c r="Z302" s="108"/>
      <c r="AA302" s="108"/>
      <c r="AB302" s="108"/>
      <c r="AC302" s="108"/>
      <c r="AD302" s="108"/>
      <c r="AE302" s="108"/>
    </row>
    <row r="303">
      <c r="G303" s="21" t="s">
        <v>3</v>
      </c>
      <c r="I303" s="42"/>
      <c r="J303" s="113">
        <f t="shared" ref="J303:N303" si="95">NORMINV(rand(),0, 1)</f>
        <v>-0.2770458393</v>
      </c>
      <c r="K303" s="114">
        <f t="shared" si="95"/>
        <v>1.688225997</v>
      </c>
      <c r="L303" s="114">
        <f t="shared" si="95"/>
        <v>-0.5529821731</v>
      </c>
      <c r="M303" s="114">
        <f t="shared" si="95"/>
        <v>1.35528958</v>
      </c>
      <c r="N303" s="115">
        <f t="shared" si="95"/>
        <v>-0.4460137699</v>
      </c>
      <c r="O303" s="2"/>
      <c r="Q303" s="116"/>
      <c r="R303" s="117"/>
      <c r="S303" s="117"/>
      <c r="T303" s="117"/>
      <c r="U303" s="118"/>
      <c r="W303" s="21" t="s">
        <v>3</v>
      </c>
      <c r="X303" s="2"/>
      <c r="Y303" s="108"/>
      <c r="Z303" s="108"/>
      <c r="AA303" s="108"/>
      <c r="AB303" s="108"/>
      <c r="AC303" s="108"/>
      <c r="AD303" s="108"/>
      <c r="AE303" s="108"/>
    </row>
    <row r="304">
      <c r="G304" s="21" t="s">
        <v>3</v>
      </c>
      <c r="I304" s="1"/>
      <c r="J304" s="2"/>
      <c r="K304" s="2"/>
      <c r="L304" s="2"/>
      <c r="M304" s="2"/>
      <c r="N304" s="2"/>
      <c r="O304" s="2"/>
      <c r="W304" s="21" t="s">
        <v>3</v>
      </c>
      <c r="Y304" s="108"/>
      <c r="Z304" s="108"/>
      <c r="AA304" s="108"/>
      <c r="AB304" s="108"/>
      <c r="AC304" s="108"/>
      <c r="AD304" s="108"/>
      <c r="AE304" s="108"/>
    </row>
    <row r="305">
      <c r="G305" s="21" t="s">
        <v>3</v>
      </c>
      <c r="I305" s="66" t="s">
        <v>64</v>
      </c>
      <c r="J305" s="102">
        <f t="shared" ref="J305:N305" si="96">NORMINV(rand(),0, 1)</f>
        <v>-0.4197429618</v>
      </c>
      <c r="K305" s="103">
        <f t="shared" si="96"/>
        <v>-1.013194677</v>
      </c>
      <c r="L305" s="103">
        <f t="shared" si="96"/>
        <v>-0.2224803217</v>
      </c>
      <c r="M305" s="103">
        <f t="shared" si="96"/>
        <v>-0.01545675514</v>
      </c>
      <c r="N305" s="104">
        <f t="shared" si="96"/>
        <v>-0.6709630878</v>
      </c>
      <c r="O305" s="2"/>
      <c r="P305" s="66" t="s">
        <v>15</v>
      </c>
      <c r="Q305" s="105"/>
      <c r="R305" s="106"/>
      <c r="S305" s="106"/>
      <c r="T305" s="106"/>
      <c r="U305" s="107"/>
      <c r="W305" s="21" t="s">
        <v>3</v>
      </c>
    </row>
    <row r="306">
      <c r="G306" s="21" t="s">
        <v>3</v>
      </c>
      <c r="I306" s="66" t="s">
        <v>66</v>
      </c>
      <c r="J306" s="109">
        <f t="shared" ref="J306:N306" si="97">NORMINV(rand(),0, 1)</f>
        <v>-0.1681590165</v>
      </c>
      <c r="K306" s="85">
        <f t="shared" si="97"/>
        <v>-0.6267396162</v>
      </c>
      <c r="L306" s="85">
        <f t="shared" si="97"/>
        <v>-0.9101529467</v>
      </c>
      <c r="M306" s="85">
        <f t="shared" si="97"/>
        <v>-0.06774127513</v>
      </c>
      <c r="N306" s="110">
        <f t="shared" si="97"/>
        <v>0.5432003794</v>
      </c>
      <c r="O306" s="2"/>
      <c r="P306" s="2"/>
      <c r="Q306" s="111"/>
      <c r="R306" s="108"/>
      <c r="S306" s="108"/>
      <c r="T306" s="108"/>
      <c r="U306" s="112"/>
      <c r="W306" s="21" t="s">
        <v>3</v>
      </c>
      <c r="X306" s="66"/>
      <c r="Y306" s="108"/>
      <c r="Z306" s="108"/>
      <c r="AA306" s="108"/>
      <c r="AB306" s="108"/>
      <c r="AC306" s="108"/>
      <c r="AD306" s="108"/>
      <c r="AE306" s="108"/>
    </row>
    <row r="307">
      <c r="G307" s="21" t="s">
        <v>3</v>
      </c>
      <c r="I307" s="42"/>
      <c r="J307" s="109">
        <f t="shared" ref="J307:N307" si="98">NORMINV(rand(),0, 1)</f>
        <v>0.2018553729</v>
      </c>
      <c r="K307" s="85">
        <f t="shared" si="98"/>
        <v>-1.617947206</v>
      </c>
      <c r="L307" s="85">
        <f t="shared" si="98"/>
        <v>-1.903528012</v>
      </c>
      <c r="M307" s="85">
        <f t="shared" si="98"/>
        <v>1.064218503</v>
      </c>
      <c r="N307" s="110">
        <f t="shared" si="98"/>
        <v>-0.5993189048</v>
      </c>
      <c r="O307" s="67" t="s">
        <v>7</v>
      </c>
      <c r="P307" s="67" t="s">
        <v>7</v>
      </c>
      <c r="Q307" s="111"/>
      <c r="R307" s="108"/>
      <c r="S307" s="108"/>
      <c r="T307" s="108"/>
      <c r="U307" s="112"/>
      <c r="V307" s="21" t="s">
        <v>41</v>
      </c>
      <c r="W307" s="21" t="s">
        <v>3</v>
      </c>
      <c r="X307" s="2"/>
      <c r="Y307" s="108"/>
      <c r="Z307" s="108"/>
      <c r="AA307" s="108"/>
      <c r="AB307" s="108"/>
      <c r="AC307" s="108"/>
      <c r="AD307" s="108"/>
      <c r="AE307" s="108"/>
    </row>
    <row r="308">
      <c r="G308" s="21" t="s">
        <v>3</v>
      </c>
      <c r="I308" s="42"/>
      <c r="J308" s="109">
        <f t="shared" ref="J308:N308" si="99">NORMINV(rand(),0, 1)</f>
        <v>0.1680901617</v>
      </c>
      <c r="K308" s="85">
        <f t="shared" si="99"/>
        <v>0.3862615917</v>
      </c>
      <c r="L308" s="85">
        <f t="shared" si="99"/>
        <v>0.8605397357</v>
      </c>
      <c r="M308" s="85">
        <f t="shared" si="99"/>
        <v>0.2555236797</v>
      </c>
      <c r="N308" s="110">
        <f t="shared" si="99"/>
        <v>-0.3528572521</v>
      </c>
      <c r="O308" s="2"/>
      <c r="P308" s="2"/>
      <c r="Q308" s="111"/>
      <c r="R308" s="108"/>
      <c r="S308" s="108"/>
      <c r="T308" s="108"/>
      <c r="U308" s="112"/>
      <c r="W308" s="21" t="s">
        <v>3</v>
      </c>
      <c r="X308" s="67"/>
      <c r="Y308" s="108"/>
      <c r="Z308" s="108"/>
      <c r="AA308" s="108"/>
      <c r="AB308" s="108"/>
      <c r="AC308" s="108"/>
      <c r="AD308" s="108"/>
      <c r="AE308" s="108"/>
    </row>
    <row r="309">
      <c r="G309" s="21" t="s">
        <v>3</v>
      </c>
      <c r="I309" s="42"/>
      <c r="J309" s="113">
        <f t="shared" ref="J309:N309" si="100">NORMINV(rand(),0, 1)</f>
        <v>0.5639511937</v>
      </c>
      <c r="K309" s="114">
        <f t="shared" si="100"/>
        <v>-1.079972038</v>
      </c>
      <c r="L309" s="114">
        <f t="shared" si="100"/>
        <v>0.2581289114</v>
      </c>
      <c r="M309" s="114">
        <f t="shared" si="100"/>
        <v>0.8501311692</v>
      </c>
      <c r="N309" s="115">
        <f t="shared" si="100"/>
        <v>0.3492367889</v>
      </c>
      <c r="O309" s="2"/>
      <c r="Q309" s="116"/>
      <c r="R309" s="117"/>
      <c r="S309" s="117"/>
      <c r="T309" s="117"/>
      <c r="U309" s="118"/>
      <c r="W309" s="21" t="s">
        <v>3</v>
      </c>
      <c r="X309" s="2"/>
      <c r="Y309" s="108"/>
      <c r="Z309" s="108"/>
      <c r="AA309" s="108"/>
      <c r="AB309" s="108"/>
      <c r="AC309" s="108"/>
      <c r="AD309" s="108"/>
      <c r="AE309" s="108"/>
    </row>
    <row r="310">
      <c r="G310" s="21" t="s">
        <v>3</v>
      </c>
      <c r="O310" s="193"/>
      <c r="P310" s="2"/>
      <c r="Q310" s="42"/>
      <c r="R310" s="43"/>
      <c r="S310" s="43"/>
      <c r="T310" s="43"/>
      <c r="U310" s="43"/>
      <c r="V310" s="43"/>
      <c r="W310" s="21" t="s">
        <v>3</v>
      </c>
      <c r="Y310" s="108"/>
      <c r="Z310" s="108"/>
      <c r="AA310" s="108"/>
      <c r="AB310" s="108"/>
      <c r="AC310" s="108"/>
      <c r="AD310" s="108"/>
      <c r="AE310" s="108"/>
    </row>
    <row r="311">
      <c r="B311" s="1"/>
      <c r="C311" s="2"/>
      <c r="D311" s="2"/>
      <c r="E311" s="2"/>
      <c r="G311" s="21" t="s">
        <v>3</v>
      </c>
      <c r="L311" s="2"/>
      <c r="M311" s="68" t="s">
        <v>22</v>
      </c>
      <c r="N311" s="7" t="str">
        <f t="array" ref="N311">MMULT(TRANSPOSE(Q305:U309),Q299:U303) / 5^0.5</f>
        <v>#VALUE!</v>
      </c>
      <c r="O311" s="8"/>
      <c r="P311" s="8"/>
      <c r="Q311" s="8"/>
      <c r="R311" s="9"/>
      <c r="W311" s="21" t="s">
        <v>3</v>
      </c>
      <c r="AA311" s="2"/>
      <c r="AB311" s="2"/>
      <c r="AC311" s="2"/>
      <c r="AD311" s="2"/>
      <c r="AE311" s="2"/>
    </row>
    <row r="312">
      <c r="B312" s="1"/>
      <c r="C312" s="2"/>
      <c r="D312" s="2"/>
      <c r="E312" s="2"/>
      <c r="G312" s="21" t="s">
        <v>3</v>
      </c>
      <c r="L312" s="2"/>
      <c r="N312" s="11"/>
      <c r="O312" s="10"/>
      <c r="P312" s="10"/>
      <c r="Q312" s="10"/>
      <c r="R312" s="12"/>
      <c r="V312" s="10"/>
      <c r="W312" s="21" t="s">
        <v>3</v>
      </c>
      <c r="X312" s="10"/>
      <c r="Y312" s="10"/>
      <c r="Z312" s="10"/>
      <c r="AA312" s="2"/>
      <c r="AB312" s="2"/>
      <c r="AC312" s="2"/>
      <c r="AD312" s="2"/>
      <c r="AE312" s="2"/>
    </row>
    <row r="313">
      <c r="B313" s="1"/>
      <c r="C313" s="2"/>
      <c r="D313" s="2"/>
      <c r="E313" s="2"/>
      <c r="G313" s="21" t="s">
        <v>3</v>
      </c>
      <c r="L313" s="2"/>
      <c r="N313" s="11"/>
      <c r="O313" s="10"/>
      <c r="P313" s="10"/>
      <c r="Q313" s="10"/>
      <c r="R313" s="12"/>
      <c r="V313" s="10"/>
      <c r="W313" s="21" t="s">
        <v>3</v>
      </c>
      <c r="X313" s="10"/>
      <c r="Y313" s="10"/>
      <c r="Z313" s="10"/>
      <c r="AA313" s="2"/>
      <c r="AB313" s="2"/>
      <c r="AC313" s="2"/>
      <c r="AD313" s="2"/>
      <c r="AE313" s="2"/>
    </row>
    <row r="314">
      <c r="B314" s="1"/>
      <c r="C314" s="2"/>
      <c r="D314" s="2"/>
      <c r="E314" s="2"/>
      <c r="G314" s="21" t="s">
        <v>3</v>
      </c>
      <c r="L314" s="2"/>
      <c r="N314" s="11"/>
      <c r="O314" s="10"/>
      <c r="P314" s="10"/>
      <c r="Q314" s="10"/>
      <c r="R314" s="12"/>
      <c r="V314" s="10"/>
      <c r="W314" s="21" t="s">
        <v>3</v>
      </c>
      <c r="X314" s="10"/>
      <c r="Y314" s="10"/>
      <c r="Z314" s="10"/>
      <c r="AA314" s="2"/>
      <c r="AB314" s="2"/>
      <c r="AC314" s="2"/>
      <c r="AD314" s="2"/>
      <c r="AE314" s="2"/>
    </row>
    <row r="315">
      <c r="B315" s="1"/>
      <c r="C315" s="2"/>
      <c r="D315" s="2"/>
      <c r="E315" s="2"/>
      <c r="G315" s="21" t="s">
        <v>3</v>
      </c>
      <c r="L315" s="2"/>
      <c r="N315" s="13"/>
      <c r="O315" s="14"/>
      <c r="P315" s="14"/>
      <c r="Q315" s="14"/>
      <c r="R315" s="15"/>
      <c r="V315" s="10"/>
      <c r="W315" s="21" t="s">
        <v>3</v>
      </c>
      <c r="X315" s="10"/>
      <c r="Y315" s="10"/>
      <c r="Z315" s="10"/>
      <c r="AA315" s="2"/>
      <c r="AB315" s="2"/>
      <c r="AC315" s="2"/>
      <c r="AD315" s="2"/>
      <c r="AE315" s="2"/>
    </row>
    <row r="316">
      <c r="B316" s="1"/>
      <c r="C316" s="2"/>
      <c r="D316" s="2"/>
      <c r="E316" s="2"/>
      <c r="G316" s="21" t="s">
        <v>3</v>
      </c>
      <c r="L316" s="2"/>
      <c r="M316" s="2"/>
      <c r="N316" s="2"/>
      <c r="O316" s="2"/>
      <c r="P316" s="98" t="s">
        <v>3</v>
      </c>
      <c r="Q316" s="2"/>
      <c r="R316" s="2"/>
      <c r="V316" s="10"/>
      <c r="W316" s="21" t="s">
        <v>3</v>
      </c>
      <c r="X316" s="10"/>
      <c r="Y316" s="10"/>
      <c r="Z316" s="10"/>
      <c r="AA316" s="2"/>
      <c r="AB316" s="2"/>
      <c r="AC316" s="2"/>
      <c r="AD316" s="2"/>
      <c r="AE316" s="2"/>
    </row>
    <row r="317">
      <c r="B317" s="1"/>
      <c r="C317" s="2"/>
      <c r="D317" s="2"/>
      <c r="E317" s="2"/>
      <c r="G317" s="21" t="s">
        <v>3</v>
      </c>
      <c r="L317" s="2"/>
      <c r="M317" s="2"/>
      <c r="N317" s="2"/>
      <c r="O317" s="2"/>
      <c r="P317" s="98" t="s">
        <v>3</v>
      </c>
      <c r="Q317" s="2"/>
      <c r="R317" s="2"/>
      <c r="V317" s="2"/>
      <c r="W317" s="21" t="s">
        <v>3</v>
      </c>
      <c r="X317" s="98"/>
      <c r="Y317" s="2"/>
      <c r="Z317" s="2"/>
      <c r="AA317" s="2"/>
      <c r="AB317" s="2"/>
      <c r="AC317" s="2"/>
      <c r="AD317" s="2"/>
      <c r="AE317" s="2"/>
    </row>
    <row r="318">
      <c r="B318" s="1"/>
      <c r="C318" s="2"/>
      <c r="D318" s="2"/>
      <c r="E318" s="2"/>
      <c r="G318" s="21" t="s">
        <v>3</v>
      </c>
      <c r="L318" s="2"/>
      <c r="M318" s="34" t="s">
        <v>37</v>
      </c>
      <c r="N318" s="173" t="str">
        <f t="shared" ref="N318:R318" si="101">EXP(N311+Y293)/SUMPRODUCT(EXP($N311:$R311+$Y293:$AC293))
</f>
        <v>#VALUE!</v>
      </c>
      <c r="O318" s="174" t="str">
        <f t="shared" si="101"/>
        <v>#VALUE!</v>
      </c>
      <c r="P318" s="174" t="str">
        <f t="shared" si="101"/>
        <v>#VALUE!</v>
      </c>
      <c r="Q318" s="174" t="str">
        <f t="shared" si="101"/>
        <v>#VALUE!</v>
      </c>
      <c r="R318" s="175" t="str">
        <f t="shared" si="101"/>
        <v>#VALUE!</v>
      </c>
      <c r="V318" s="2"/>
      <c r="W318" s="21" t="s">
        <v>3</v>
      </c>
      <c r="X318" s="98"/>
      <c r="Y318" s="2"/>
      <c r="Z318" s="2"/>
      <c r="AA318" s="2"/>
      <c r="AB318" s="2"/>
      <c r="AC318" s="2"/>
      <c r="AD318" s="2"/>
      <c r="AE318" s="2"/>
    </row>
    <row r="319">
      <c r="B319" s="1"/>
      <c r="C319" s="2"/>
      <c r="D319" s="2"/>
      <c r="E319" s="2"/>
      <c r="G319" s="21" t="s">
        <v>3</v>
      </c>
      <c r="L319" s="2"/>
      <c r="M319" s="34" t="s">
        <v>35</v>
      </c>
      <c r="N319" s="176">
        <f t="shared" ref="N319:R319" si="102">EXP(N312+Y294)/SUMPRODUCT(EXP($N312:$R312+$Y294:$AC294))
</f>
        <v>0.5</v>
      </c>
      <c r="O319" s="177">
        <f t="shared" si="102"/>
        <v>0.5</v>
      </c>
      <c r="P319" s="177">
        <f t="shared" si="102"/>
        <v>0</v>
      </c>
      <c r="Q319" s="177">
        <f t="shared" si="102"/>
        <v>0</v>
      </c>
      <c r="R319" s="178">
        <f t="shared" si="102"/>
        <v>0</v>
      </c>
      <c r="V319" s="177"/>
      <c r="W319" s="21" t="s">
        <v>3</v>
      </c>
      <c r="X319" s="177"/>
      <c r="Y319" s="177"/>
      <c r="Z319" s="177"/>
      <c r="AA319" s="2"/>
      <c r="AB319" s="2"/>
      <c r="AC319" s="2"/>
      <c r="AD319" s="2"/>
      <c r="AE319" s="2"/>
    </row>
    <row r="320">
      <c r="B320" s="1"/>
      <c r="C320" s="2"/>
      <c r="D320" s="2"/>
      <c r="E320" s="2"/>
      <c r="G320" s="21" t="s">
        <v>3</v>
      </c>
      <c r="L320" s="2"/>
      <c r="M320" s="67"/>
      <c r="N320" s="176">
        <f t="shared" ref="N320:R320" si="103">EXP(N313+Y295)/SUMPRODUCT(EXP($N313:$R313+$Y295:$AC295))
</f>
        <v>0.3333333333</v>
      </c>
      <c r="O320" s="177">
        <f t="shared" si="103"/>
        <v>0.3333333333</v>
      </c>
      <c r="P320" s="177">
        <f t="shared" si="103"/>
        <v>0.3333333333</v>
      </c>
      <c r="Q320" s="177">
        <f t="shared" si="103"/>
        <v>0</v>
      </c>
      <c r="R320" s="178">
        <f t="shared" si="103"/>
        <v>0</v>
      </c>
      <c r="V320" s="177"/>
      <c r="W320" s="21" t="s">
        <v>3</v>
      </c>
      <c r="X320" s="177"/>
      <c r="Y320" s="177"/>
      <c r="Z320" s="177"/>
      <c r="AA320" s="2"/>
      <c r="AB320" s="2"/>
      <c r="AC320" s="2"/>
      <c r="AD320" s="2"/>
      <c r="AE320" s="2"/>
    </row>
    <row r="321">
      <c r="B321" s="1"/>
      <c r="C321" s="2"/>
      <c r="D321" s="2"/>
      <c r="E321" s="2"/>
      <c r="G321" s="21" t="s">
        <v>3</v>
      </c>
      <c r="L321" s="2"/>
      <c r="M321" s="94"/>
      <c r="N321" s="176">
        <f t="shared" ref="N321:R321" si="104">EXP(N314+Y296)/SUMPRODUCT(EXP($N314:$R314+$Y296:$AC296))
</f>
        <v>0.25</v>
      </c>
      <c r="O321" s="177">
        <f t="shared" si="104"/>
        <v>0.25</v>
      </c>
      <c r="P321" s="177">
        <f t="shared" si="104"/>
        <v>0.25</v>
      </c>
      <c r="Q321" s="177">
        <f t="shared" si="104"/>
        <v>0.25</v>
      </c>
      <c r="R321" s="178">
        <f t="shared" si="104"/>
        <v>0</v>
      </c>
      <c r="V321" s="177"/>
      <c r="W321" s="21" t="s">
        <v>3</v>
      </c>
      <c r="X321" s="177"/>
      <c r="Y321" s="177"/>
      <c r="Z321" s="177"/>
      <c r="AA321" s="2"/>
      <c r="AB321" s="2"/>
      <c r="AC321" s="2"/>
      <c r="AD321" s="2"/>
      <c r="AE321" s="2"/>
    </row>
    <row r="322">
      <c r="B322" s="1"/>
      <c r="C322" s="2"/>
      <c r="D322" s="2"/>
      <c r="E322" s="2"/>
      <c r="G322" s="21" t="s">
        <v>3</v>
      </c>
      <c r="L322" s="2"/>
      <c r="M322" s="42"/>
      <c r="N322" s="179">
        <f t="shared" ref="N322:R322" si="105">EXP(N315+Y297)/SUMPRODUCT(EXP($N315:$R315+$Y297:$AC297))
</f>
        <v>0.2</v>
      </c>
      <c r="O322" s="180">
        <f t="shared" si="105"/>
        <v>0.2</v>
      </c>
      <c r="P322" s="180">
        <f t="shared" si="105"/>
        <v>0.2</v>
      </c>
      <c r="Q322" s="180">
        <f t="shared" si="105"/>
        <v>0.2</v>
      </c>
      <c r="R322" s="181">
        <f t="shared" si="105"/>
        <v>0.2</v>
      </c>
      <c r="V322" s="177"/>
      <c r="W322" s="21" t="s">
        <v>3</v>
      </c>
      <c r="X322" s="177"/>
      <c r="Y322" s="177"/>
      <c r="Z322" s="177"/>
      <c r="AA322" s="2"/>
      <c r="AB322" s="2"/>
      <c r="AC322" s="2"/>
      <c r="AD322" s="2"/>
      <c r="AE322" s="2"/>
    </row>
    <row r="323">
      <c r="B323" s="1"/>
      <c r="C323" s="2"/>
      <c r="D323" s="2"/>
      <c r="E323" s="2"/>
      <c r="G323" s="21" t="s">
        <v>3</v>
      </c>
      <c r="L323" s="2"/>
      <c r="M323" s="2"/>
      <c r="N323" s="2"/>
      <c r="O323" s="3"/>
      <c r="P323" s="2"/>
      <c r="Q323" s="2"/>
      <c r="R323" s="2"/>
      <c r="S323" s="2"/>
      <c r="T323" s="2"/>
      <c r="U323" s="2"/>
      <c r="V323" s="177"/>
      <c r="W323" s="21" t="s">
        <v>3</v>
      </c>
      <c r="X323" s="177"/>
      <c r="Y323" s="177"/>
      <c r="Z323" s="177"/>
      <c r="AA323" s="2"/>
      <c r="AB323" s="2"/>
      <c r="AC323" s="2"/>
      <c r="AD323" s="2"/>
      <c r="AE323" s="2"/>
    </row>
    <row r="324">
      <c r="B324" s="1"/>
      <c r="C324" s="2"/>
      <c r="D324" s="2"/>
      <c r="F324" s="2"/>
      <c r="G324" s="21" t="s">
        <v>3</v>
      </c>
      <c r="H324" s="2"/>
      <c r="I324" s="2"/>
      <c r="J324" s="2"/>
      <c r="K324" s="2"/>
      <c r="L324" s="2"/>
      <c r="M324" s="2"/>
      <c r="N324" s="2"/>
      <c r="O324" s="193"/>
      <c r="P324" s="2"/>
      <c r="Q324" s="1"/>
      <c r="R324" s="2"/>
      <c r="S324" s="2"/>
      <c r="T324" s="2"/>
      <c r="U324" s="2"/>
      <c r="V324" s="2"/>
      <c r="W324" s="21" t="s">
        <v>3</v>
      </c>
      <c r="X324" s="2"/>
      <c r="Y324" s="2"/>
      <c r="Z324" s="2"/>
      <c r="AA324" s="2"/>
      <c r="AB324" s="2"/>
      <c r="AC324" s="2"/>
      <c r="AD324" s="2"/>
      <c r="AE324" s="2"/>
    </row>
    <row r="325">
      <c r="B325" s="66" t="s">
        <v>42</v>
      </c>
      <c r="C325" s="119">
        <f t="shared" ref="C325:G325" si="106">NORMINV(rand(),0, 1)</f>
        <v>0.4579352337</v>
      </c>
      <c r="D325" s="120">
        <f t="shared" si="106"/>
        <v>0.01123272586</v>
      </c>
      <c r="E325" s="121">
        <f t="shared" si="106"/>
        <v>-1.806328607</v>
      </c>
      <c r="F325" s="122">
        <f t="shared" si="106"/>
        <v>-0.6792622176</v>
      </c>
      <c r="G325" s="123">
        <f t="shared" si="106"/>
        <v>0.1808009523</v>
      </c>
      <c r="H325" s="2"/>
      <c r="I325" s="66" t="s">
        <v>43</v>
      </c>
      <c r="J325" s="124">
        <f t="array" ref="J325:N329">MMULT(C325:G329,$M$203:$Q$207)</f>
        <v>-1.912080275</v>
      </c>
      <c r="K325" s="125">
        <v>0.3630441475289739</v>
      </c>
      <c r="L325" s="126">
        <v>1.4792420225934095</v>
      </c>
      <c r="M325" s="127">
        <v>0.5395160576875383</v>
      </c>
      <c r="N325" s="128">
        <v>-1.4118928522936576</v>
      </c>
      <c r="O325" s="101"/>
      <c r="P325" s="2"/>
      <c r="Q325" s="66" t="s">
        <v>44</v>
      </c>
      <c r="R325" s="119">
        <f t="shared" ref="R325:V325" si="107">NORMINV(rand(),0, 1)</f>
        <v>1.065020166</v>
      </c>
      <c r="S325" s="120">
        <f t="shared" si="107"/>
        <v>-0.2895921202</v>
      </c>
      <c r="T325" s="121">
        <f t="shared" si="107"/>
        <v>-0.4902962771</v>
      </c>
      <c r="U325" s="122">
        <f t="shared" si="107"/>
        <v>2.572547304</v>
      </c>
      <c r="V325" s="123">
        <f t="shared" si="107"/>
        <v>-0.9229830684</v>
      </c>
      <c r="W325" s="2"/>
      <c r="X325" s="66" t="s">
        <v>45</v>
      </c>
      <c r="Y325" s="124">
        <f t="array" ref="Y325:AC329">MMULT(R325:V329,$M$203:$Q$207)</f>
        <v>3.275545339</v>
      </c>
      <c r="Z325" s="125">
        <v>-0.27719297216770206</v>
      </c>
      <c r="AA325" s="126">
        <v>0.09847925226182921</v>
      </c>
      <c r="AB325" s="127">
        <v>-2.7748207139488166</v>
      </c>
      <c r="AC325" s="128">
        <v>0.7465384005941739</v>
      </c>
      <c r="AD325" s="130"/>
      <c r="AE325" s="130"/>
    </row>
    <row r="326">
      <c r="B326" s="66" t="s">
        <v>6</v>
      </c>
      <c r="C326" s="131">
        <f t="shared" ref="C326:G326" si="108">NORMINV(rand(),0, 1)</f>
        <v>-0.5578177022</v>
      </c>
      <c r="D326" s="132">
        <f t="shared" si="108"/>
        <v>0.9950288676</v>
      </c>
      <c r="E326" s="133">
        <f t="shared" si="108"/>
        <v>-0.3637874393</v>
      </c>
      <c r="F326" s="134">
        <f t="shared" si="108"/>
        <v>0.7973011862</v>
      </c>
      <c r="G326" s="135">
        <f t="shared" si="108"/>
        <v>-0.01310936321</v>
      </c>
      <c r="H326" s="2"/>
      <c r="I326" s="42"/>
      <c r="J326" s="136">
        <v>0.4949172994411115</v>
      </c>
      <c r="K326" s="137">
        <v>-1.1483173696826052</v>
      </c>
      <c r="L326" s="138">
        <v>-0.17281749580616834</v>
      </c>
      <c r="M326" s="139">
        <v>-1.2364004383920484</v>
      </c>
      <c r="N326" s="140">
        <v>1.0281795531182152</v>
      </c>
      <c r="O326" s="101"/>
      <c r="P326" s="2"/>
      <c r="Q326" s="66" t="s">
        <v>6</v>
      </c>
      <c r="R326" s="131">
        <f t="shared" ref="R326:V326" si="109">NORMINV(rand(),0, 1)</f>
        <v>-1.780923457</v>
      </c>
      <c r="S326" s="132">
        <f t="shared" si="109"/>
        <v>1.118169951</v>
      </c>
      <c r="T326" s="133">
        <f t="shared" si="109"/>
        <v>0.2044070068</v>
      </c>
      <c r="U326" s="134">
        <f t="shared" si="109"/>
        <v>1.086424952</v>
      </c>
      <c r="V326" s="135">
        <f t="shared" si="109"/>
        <v>0.3376931018</v>
      </c>
      <c r="W326" s="2"/>
      <c r="X326" s="42"/>
      <c r="Y326" s="136">
        <v>-0.45232461108741984</v>
      </c>
      <c r="Z326" s="137">
        <v>-1.9085376648005008</v>
      </c>
      <c r="AA326" s="138">
        <v>-1.4394736766919425</v>
      </c>
      <c r="AB326" s="139">
        <v>-2.067538857800839</v>
      </c>
      <c r="AC326" s="140">
        <v>1.776324869090201</v>
      </c>
      <c r="AD326" s="141"/>
      <c r="AE326" s="141"/>
    </row>
    <row r="327">
      <c r="B327" s="42"/>
      <c r="C327" s="142">
        <f t="shared" ref="C327:G327" si="110">NORMINV(rand(),0, 1)</f>
        <v>-0.5492260453</v>
      </c>
      <c r="D327" s="143">
        <f t="shared" si="110"/>
        <v>-1.588571667</v>
      </c>
      <c r="E327" s="88">
        <f t="shared" si="110"/>
        <v>-0.4804233438</v>
      </c>
      <c r="F327" s="144">
        <f t="shared" si="110"/>
        <v>-0.03369019242</v>
      </c>
      <c r="G327" s="145">
        <f t="shared" si="110"/>
        <v>0.7537916029</v>
      </c>
      <c r="H327" s="67" t="s">
        <v>7</v>
      </c>
      <c r="I327" s="67" t="s">
        <v>7</v>
      </c>
      <c r="J327" s="146">
        <v>-3.8737005456449616</v>
      </c>
      <c r="K327" s="147">
        <v>0.4906461579524197</v>
      </c>
      <c r="L327" s="148">
        <v>-0.7760773656966395</v>
      </c>
      <c r="M327" s="149">
        <v>-0.5795630038283975</v>
      </c>
      <c r="N327" s="150">
        <v>-1.6542246533492486</v>
      </c>
      <c r="O327" s="101"/>
      <c r="P327" s="2"/>
      <c r="Q327" s="42"/>
      <c r="R327" s="142">
        <f t="shared" ref="R327:V327" si="111">NORMINV(rand(),0, 1)</f>
        <v>-1.092467361</v>
      </c>
      <c r="S327" s="143">
        <f t="shared" si="111"/>
        <v>0.6969968558</v>
      </c>
      <c r="T327" s="88">
        <f t="shared" si="111"/>
        <v>-0.431726559</v>
      </c>
      <c r="U327" s="144">
        <f t="shared" si="111"/>
        <v>-0.4452942054</v>
      </c>
      <c r="V327" s="145">
        <f t="shared" si="111"/>
        <v>0.07768982877</v>
      </c>
      <c r="W327" s="67" t="s">
        <v>7</v>
      </c>
      <c r="X327" s="67" t="s">
        <v>7</v>
      </c>
      <c r="Y327" s="146">
        <v>-0.8908927441608796</v>
      </c>
      <c r="Z327" s="147">
        <v>-0.6729348321932848</v>
      </c>
      <c r="AA327" s="148">
        <v>-0.1181440561421925</v>
      </c>
      <c r="AB327" s="149">
        <v>-0.18167724094553714</v>
      </c>
      <c r="AC327" s="150">
        <v>0.6936253873679994</v>
      </c>
      <c r="AD327" s="151"/>
      <c r="AE327" s="151"/>
    </row>
    <row r="328">
      <c r="B328" s="42"/>
      <c r="C328" s="152">
        <f t="shared" ref="C328:G328" si="112">NORMINV(rand(),0, 1)</f>
        <v>-0.4087986128</v>
      </c>
      <c r="D328" s="92">
        <f t="shared" si="112"/>
        <v>-0.9702420327</v>
      </c>
      <c r="E328" s="153">
        <f t="shared" si="112"/>
        <v>0.2925721733</v>
      </c>
      <c r="F328" s="154">
        <f t="shared" si="112"/>
        <v>0.8957275129</v>
      </c>
      <c r="G328" s="155">
        <f t="shared" si="112"/>
        <v>-0.1032090632</v>
      </c>
      <c r="H328" s="2"/>
      <c r="I328" s="42"/>
      <c r="J328" s="156">
        <v>-0.22556925732916033</v>
      </c>
      <c r="K328" s="157">
        <v>0.054315541447315346</v>
      </c>
      <c r="L328" s="158">
        <v>-1.0470817244091826</v>
      </c>
      <c r="M328" s="159">
        <v>-1.4230858740765844</v>
      </c>
      <c r="N328" s="160">
        <v>0.16949615242633814</v>
      </c>
      <c r="O328" s="101"/>
      <c r="P328" s="2"/>
      <c r="Q328" s="42"/>
      <c r="R328" s="152">
        <f t="shared" ref="R328:V328" si="113">NORMINV(rand(),0, 1)</f>
        <v>-0.5990899449</v>
      </c>
      <c r="S328" s="92">
        <f t="shared" si="113"/>
        <v>0.1004138964</v>
      </c>
      <c r="T328" s="153">
        <f t="shared" si="113"/>
        <v>-0.0359981136</v>
      </c>
      <c r="U328" s="154">
        <f t="shared" si="113"/>
        <v>0.6836234582</v>
      </c>
      <c r="V328" s="155">
        <f t="shared" si="113"/>
        <v>0.574293442</v>
      </c>
      <c r="W328" s="2"/>
      <c r="X328" s="42"/>
      <c r="Y328" s="156">
        <v>-1.4182313727414182</v>
      </c>
      <c r="Z328" s="157">
        <v>-0.7569347695107196</v>
      </c>
      <c r="AA328" s="158">
        <v>-0.7550316420201746</v>
      </c>
      <c r="AB328" s="159">
        <v>-1.0375072168594854</v>
      </c>
      <c r="AC328" s="160">
        <v>-0.0333704134654591</v>
      </c>
      <c r="AD328" s="161"/>
      <c r="AE328" s="161"/>
    </row>
    <row r="329">
      <c r="B329" s="42"/>
      <c r="C329" s="162">
        <f t="shared" ref="C329:G329" si="114">NORMINV(rand(),0, 1)</f>
        <v>1.131106626</v>
      </c>
      <c r="D329" s="163">
        <f t="shared" si="114"/>
        <v>-0.8927567894</v>
      </c>
      <c r="E329" s="164">
        <f t="shared" si="114"/>
        <v>0.5191784327</v>
      </c>
      <c r="F329" s="165">
        <f t="shared" si="114"/>
        <v>-0.3510959228</v>
      </c>
      <c r="G329" s="166">
        <f t="shared" si="114"/>
        <v>1.129659821</v>
      </c>
      <c r="H329" s="2"/>
      <c r="I329" s="42"/>
      <c r="J329" s="167">
        <v>-2.322719009396467</v>
      </c>
      <c r="K329" s="168">
        <v>0.7980002698836481</v>
      </c>
      <c r="L329" s="169">
        <v>0.04152123865828794</v>
      </c>
      <c r="M329" s="170">
        <v>1.4388651487410788</v>
      </c>
      <c r="N329" s="171">
        <v>-2.379446899091057</v>
      </c>
      <c r="O329" s="101"/>
      <c r="P329" s="2"/>
      <c r="Q329" s="42"/>
      <c r="R329" s="162">
        <f t="shared" ref="R329:V329" si="115">NORMINV(rand(),0, 1)</f>
        <v>-1.149922031</v>
      </c>
      <c r="S329" s="163">
        <f t="shared" si="115"/>
        <v>-1.879074676</v>
      </c>
      <c r="T329" s="164">
        <f t="shared" si="115"/>
        <v>0.2653224195</v>
      </c>
      <c r="U329" s="165">
        <f t="shared" si="115"/>
        <v>-0.1882607143</v>
      </c>
      <c r="V329" s="166">
        <f t="shared" si="115"/>
        <v>0.4186887303</v>
      </c>
      <c r="W329" s="2"/>
      <c r="X329" s="42"/>
      <c r="Y329" s="167">
        <v>-3.167350397262226</v>
      </c>
      <c r="Z329" s="168">
        <v>0.6109708854673461</v>
      </c>
      <c r="AA329" s="169">
        <v>-1.5097453270261196</v>
      </c>
      <c r="AB329" s="170">
        <v>-0.6783622976934198</v>
      </c>
      <c r="AC329" s="171">
        <v>-0.8207325867405348</v>
      </c>
      <c r="AD329" s="172"/>
      <c r="AE329" s="172"/>
    </row>
    <row r="330">
      <c r="B330" s="1"/>
      <c r="C330" s="2"/>
      <c r="D330" s="2"/>
      <c r="E330" s="2"/>
      <c r="F330" s="2"/>
      <c r="G330" s="2"/>
      <c r="H330" s="2"/>
      <c r="I330" s="98" t="s">
        <v>3</v>
      </c>
      <c r="J330" s="2"/>
      <c r="K330" s="2"/>
      <c r="L330" s="2"/>
      <c r="M330" s="2"/>
      <c r="N330" s="2"/>
      <c r="O330" s="101"/>
      <c r="P330" s="2"/>
      <c r="Q330" s="2"/>
      <c r="R330" s="2"/>
      <c r="S330" s="2"/>
      <c r="T330" s="2"/>
      <c r="U330" s="2"/>
      <c r="V330" s="2"/>
      <c r="W330" s="2"/>
      <c r="X330" s="98" t="s">
        <v>3</v>
      </c>
      <c r="Y330" s="2"/>
      <c r="Z330" s="2"/>
      <c r="AA330" s="2"/>
      <c r="AB330" s="2"/>
      <c r="AC330" s="2"/>
      <c r="AD330" s="2"/>
      <c r="AE330" s="2"/>
    </row>
    <row r="331">
      <c r="B331" s="1"/>
      <c r="C331" s="2"/>
      <c r="D331" s="2"/>
      <c r="E331" s="2"/>
      <c r="F331" s="2"/>
      <c r="G331" s="2"/>
      <c r="H331" s="2"/>
      <c r="I331" s="98" t="s">
        <v>3</v>
      </c>
      <c r="J331" s="2"/>
      <c r="K331" s="2"/>
      <c r="L331" s="2"/>
      <c r="M331" s="2"/>
      <c r="N331" s="2"/>
      <c r="O331" s="101"/>
      <c r="P331" s="2"/>
      <c r="Q331" s="2"/>
      <c r="R331" s="2"/>
      <c r="S331" s="2"/>
      <c r="T331" s="2"/>
      <c r="U331" s="2"/>
      <c r="V331" s="2"/>
      <c r="W331" s="2"/>
      <c r="X331" s="98" t="s">
        <v>3</v>
      </c>
      <c r="Y331" s="2"/>
      <c r="Z331" s="2"/>
      <c r="AA331" s="2"/>
      <c r="AB331" s="2"/>
      <c r="AC331" s="2"/>
      <c r="AD331" s="2"/>
      <c r="AE331" s="2"/>
    </row>
    <row r="332">
      <c r="B332" s="1"/>
      <c r="C332" s="2"/>
      <c r="D332" s="2"/>
      <c r="E332" s="2"/>
      <c r="F332" s="66" t="s">
        <v>54</v>
      </c>
      <c r="G332" s="7" t="str">
        <f t="array" ref="G332">MMULT(J325:N329,N318:R322)</f>
        <v>#VALUE!</v>
      </c>
      <c r="H332" s="8"/>
      <c r="I332" s="8"/>
      <c r="J332" s="8"/>
      <c r="K332" s="9"/>
      <c r="L332" s="2"/>
      <c r="M332" s="2"/>
      <c r="N332" s="2"/>
      <c r="O332" s="101"/>
      <c r="P332" s="2"/>
      <c r="Q332" s="2"/>
      <c r="R332" s="2"/>
      <c r="S332" s="2"/>
      <c r="T332" s="2"/>
      <c r="U332" s="66" t="s">
        <v>55</v>
      </c>
      <c r="V332" s="7" t="str">
        <f t="array" ref="V332">MMULT(Y325:AC329,N318:R322)</f>
        <v>#VALUE!</v>
      </c>
      <c r="W332" s="8"/>
      <c r="X332" s="8"/>
      <c r="Y332" s="8"/>
      <c r="Z332" s="9"/>
      <c r="AA332" s="2"/>
      <c r="AB332" s="2"/>
      <c r="AC332" s="2"/>
      <c r="AD332" s="2"/>
      <c r="AE332" s="2"/>
    </row>
    <row r="333">
      <c r="B333" s="1"/>
      <c r="C333" s="2"/>
      <c r="D333" s="2"/>
      <c r="E333" s="2"/>
      <c r="F333" s="2"/>
      <c r="G333" s="11"/>
      <c r="H333" s="10"/>
      <c r="I333" s="10"/>
      <c r="J333" s="10"/>
      <c r="K333" s="12"/>
      <c r="L333" s="2"/>
      <c r="M333" s="2"/>
      <c r="N333" s="2"/>
      <c r="O333" s="101"/>
      <c r="P333" s="2"/>
      <c r="Q333" s="2"/>
      <c r="R333" s="2"/>
      <c r="S333" s="2"/>
      <c r="T333" s="2"/>
      <c r="U333" s="2"/>
      <c r="V333" s="11"/>
      <c r="W333" s="10"/>
      <c r="X333" s="10"/>
      <c r="Y333" s="10"/>
      <c r="Z333" s="12"/>
      <c r="AA333" s="2"/>
      <c r="AB333" s="2"/>
      <c r="AC333" s="2"/>
      <c r="AD333" s="2"/>
      <c r="AE333" s="2"/>
    </row>
    <row r="334">
      <c r="B334" s="1"/>
      <c r="C334" s="2"/>
      <c r="D334" s="2"/>
      <c r="E334" s="2"/>
      <c r="F334" s="2"/>
      <c r="G334" s="11"/>
      <c r="H334" s="10"/>
      <c r="I334" s="10"/>
      <c r="J334" s="10"/>
      <c r="K334" s="12"/>
      <c r="L334" s="2"/>
      <c r="M334" s="2"/>
      <c r="N334" s="2"/>
      <c r="O334" s="101"/>
      <c r="P334" s="2"/>
      <c r="Q334" s="2"/>
      <c r="R334" s="2"/>
      <c r="S334" s="2"/>
      <c r="T334" s="2"/>
      <c r="U334" s="2"/>
      <c r="V334" s="11"/>
      <c r="W334" s="10"/>
      <c r="X334" s="10"/>
      <c r="Y334" s="10"/>
      <c r="Z334" s="12"/>
      <c r="AA334" s="2"/>
      <c r="AB334" s="2"/>
      <c r="AC334" s="2"/>
      <c r="AD334" s="2"/>
      <c r="AE334" s="2"/>
    </row>
    <row r="335">
      <c r="B335" s="1"/>
      <c r="C335" s="2"/>
      <c r="D335" s="2"/>
      <c r="E335" s="2"/>
      <c r="F335" s="2"/>
      <c r="G335" s="11"/>
      <c r="H335" s="10"/>
      <c r="I335" s="10"/>
      <c r="J335" s="10"/>
      <c r="K335" s="12"/>
      <c r="L335" s="2"/>
      <c r="M335" s="2"/>
      <c r="N335" s="2"/>
      <c r="O335" s="101"/>
      <c r="P335" s="2"/>
      <c r="Q335" s="2"/>
      <c r="R335" s="2"/>
      <c r="S335" s="2"/>
      <c r="T335" s="2"/>
      <c r="U335" s="2"/>
      <c r="V335" s="11"/>
      <c r="W335" s="10"/>
      <c r="X335" s="10"/>
      <c r="Y335" s="10"/>
      <c r="Z335" s="12"/>
      <c r="AA335" s="2"/>
      <c r="AB335" s="2"/>
      <c r="AC335" s="2"/>
      <c r="AD335" s="2"/>
      <c r="AE335" s="2"/>
    </row>
    <row r="336">
      <c r="B336" s="1"/>
      <c r="C336" s="2"/>
      <c r="D336" s="2"/>
      <c r="E336" s="2"/>
      <c r="F336" s="2"/>
      <c r="G336" s="13"/>
      <c r="H336" s="14"/>
      <c r="I336" s="14"/>
      <c r="J336" s="14"/>
      <c r="K336" s="15"/>
      <c r="L336" s="2"/>
      <c r="M336" s="2"/>
      <c r="N336" s="2"/>
      <c r="O336" s="101"/>
      <c r="P336" s="2"/>
      <c r="Q336" s="2"/>
      <c r="R336" s="2"/>
      <c r="S336" s="2"/>
      <c r="T336" s="2"/>
      <c r="U336" s="2"/>
      <c r="V336" s="13"/>
      <c r="W336" s="14"/>
      <c r="X336" s="14"/>
      <c r="Y336" s="14"/>
      <c r="Z336" s="15"/>
      <c r="AA336" s="2"/>
      <c r="AB336" s="2"/>
      <c r="AC336" s="2"/>
      <c r="AD336" s="2"/>
      <c r="AE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01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01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3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3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4" t="s">
        <v>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2"/>
      <c r="AE345" s="2"/>
    </row>
    <row r="346">
      <c r="B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3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B349" s="194"/>
      <c r="C349" s="194"/>
      <c r="E349" s="195"/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B350" s="194"/>
      <c r="C350" s="194" t="s">
        <v>68</v>
      </c>
      <c r="E350" s="195" t="s">
        <v>69</v>
      </c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96" t="s">
        <v>70</v>
      </c>
      <c r="C351" s="21">
        <v>768.0</v>
      </c>
      <c r="E351" s="21">
        <v>10.0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B353" s="6" t="s">
        <v>71</v>
      </c>
      <c r="C353" s="21">
        <v>12.0</v>
      </c>
      <c r="E353" s="21">
        <v>2.0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B354" s="1"/>
      <c r="C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96" t="s">
        <v>72</v>
      </c>
      <c r="C355" s="2">
        <f>C351/C353</f>
        <v>64</v>
      </c>
      <c r="E355" s="197" t="s">
        <v>73</v>
      </c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3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6.5" customHeight="1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4" t="s">
        <v>74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D360" s="6" t="s">
        <v>75</v>
      </c>
      <c r="E360" s="21">
        <v>10.0</v>
      </c>
      <c r="F360" s="2"/>
      <c r="G360" s="2"/>
      <c r="H360" s="2"/>
      <c r="I360" s="2"/>
      <c r="J360" s="2"/>
      <c r="K360" s="2"/>
      <c r="L360" s="2"/>
      <c r="M360" s="2"/>
      <c r="N360" s="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D361" s="6" t="s">
        <v>72</v>
      </c>
      <c r="E361" s="21">
        <v>5.0</v>
      </c>
      <c r="F361" s="2"/>
      <c r="G361" s="2"/>
      <c r="H361" s="2"/>
      <c r="I361" s="2"/>
      <c r="J361" s="2"/>
      <c r="K361" s="2"/>
      <c r="L361" s="2"/>
      <c r="M361" s="2"/>
      <c r="N361" s="2"/>
      <c r="O361" s="3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3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42"/>
      <c r="B363" s="42"/>
      <c r="C363" s="42"/>
      <c r="F363" s="42"/>
      <c r="G363" s="42"/>
      <c r="H363" s="42"/>
      <c r="I363" s="34" t="s">
        <v>1</v>
      </c>
      <c r="J363" s="198">
        <f t="shared" ref="J363:S363" si="116">NORMINV(rand(),0, 1)</f>
        <v>-1.015309146</v>
      </c>
      <c r="K363" s="199">
        <f t="shared" si="116"/>
        <v>-1.852416441</v>
      </c>
      <c r="L363" s="200">
        <f t="shared" si="116"/>
        <v>-2.297591064</v>
      </c>
      <c r="M363" s="201">
        <f t="shared" si="116"/>
        <v>-0.4093232361</v>
      </c>
      <c r="N363" s="202">
        <f t="shared" si="116"/>
        <v>0.90560122</v>
      </c>
      <c r="O363" s="203">
        <f t="shared" si="116"/>
        <v>-0.982364622</v>
      </c>
      <c r="P363" s="199">
        <f t="shared" si="116"/>
        <v>0.3354720753</v>
      </c>
      <c r="Q363" s="200">
        <f t="shared" si="116"/>
        <v>0.09538051717</v>
      </c>
      <c r="R363" s="201">
        <f t="shared" si="116"/>
        <v>0.04144425319</v>
      </c>
      <c r="S363" s="204">
        <f t="shared" si="116"/>
        <v>-0.4679997602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42"/>
      <c r="B364" s="42"/>
      <c r="C364" s="42"/>
      <c r="D364" s="42"/>
      <c r="E364" s="42"/>
      <c r="F364" s="42"/>
      <c r="G364" s="42"/>
      <c r="H364" s="42"/>
      <c r="I364" s="34" t="s">
        <v>2</v>
      </c>
      <c r="J364" s="205">
        <f t="shared" ref="J364:S364" si="117">NORMINV(rand(),0, 1)</f>
        <v>-0.5070887064</v>
      </c>
      <c r="K364" s="84">
        <f t="shared" si="117"/>
        <v>0.1976349822</v>
      </c>
      <c r="L364" s="206">
        <f t="shared" si="117"/>
        <v>-0.05118353519</v>
      </c>
      <c r="M364" s="207">
        <f t="shared" si="117"/>
        <v>0.591663536</v>
      </c>
      <c r="N364" s="208">
        <f t="shared" si="117"/>
        <v>0.3892190498</v>
      </c>
      <c r="O364" s="209">
        <f t="shared" si="117"/>
        <v>-0.6742021769</v>
      </c>
      <c r="P364" s="84">
        <f t="shared" si="117"/>
        <v>1.529977439</v>
      </c>
      <c r="Q364" s="206">
        <f t="shared" si="117"/>
        <v>0.5919844633</v>
      </c>
      <c r="R364" s="207">
        <f t="shared" si="117"/>
        <v>0.03148852993</v>
      </c>
      <c r="S364" s="210">
        <f t="shared" si="117"/>
        <v>1.592704087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211">
        <f t="shared" ref="J365:S365" si="118">NORMINV(rand(),0, 1)</f>
        <v>1.096368964</v>
      </c>
      <c r="K365" s="212">
        <f t="shared" si="118"/>
        <v>-0.1082840022</v>
      </c>
      <c r="L365" s="213">
        <f t="shared" si="118"/>
        <v>0.3242053238</v>
      </c>
      <c r="M365" s="214">
        <f t="shared" si="118"/>
        <v>-2.026305353</v>
      </c>
      <c r="N365" s="215">
        <f t="shared" si="118"/>
        <v>0.748168831</v>
      </c>
      <c r="O365" s="216">
        <f t="shared" si="118"/>
        <v>0.6539219325</v>
      </c>
      <c r="P365" s="212">
        <f t="shared" si="118"/>
        <v>-0.3298674148</v>
      </c>
      <c r="Q365" s="213">
        <f t="shared" si="118"/>
        <v>0.5035326178</v>
      </c>
      <c r="R365" s="214">
        <f t="shared" si="118"/>
        <v>-1.098615497</v>
      </c>
      <c r="S365" s="217">
        <f t="shared" si="118"/>
        <v>0.7896729643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218">
        <f t="shared" ref="J366:S366" si="119">NORMINV(rand(),0, 1)</f>
        <v>0.3442135344</v>
      </c>
      <c r="K366" s="219">
        <f t="shared" si="119"/>
        <v>0.08597762751</v>
      </c>
      <c r="L366" s="220">
        <f t="shared" si="119"/>
        <v>-0.6046610609</v>
      </c>
      <c r="M366" s="221">
        <f t="shared" si="119"/>
        <v>-0.4497266301</v>
      </c>
      <c r="N366" s="83">
        <f t="shared" si="119"/>
        <v>1.566508792</v>
      </c>
      <c r="O366" s="222">
        <f t="shared" si="119"/>
        <v>1.499065771</v>
      </c>
      <c r="P366" s="219">
        <f t="shared" si="119"/>
        <v>-0.198418668</v>
      </c>
      <c r="Q366" s="220">
        <f t="shared" si="119"/>
        <v>-1.778661235</v>
      </c>
      <c r="R366" s="221">
        <f t="shared" si="119"/>
        <v>0.660045512</v>
      </c>
      <c r="S366" s="223">
        <f t="shared" si="119"/>
        <v>0.08893593863</v>
      </c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224">
        <f t="shared" ref="J367:S367" si="120">NORMINV(rand(),0, 1)</f>
        <v>-1.337154325</v>
      </c>
      <c r="K367" s="225">
        <f t="shared" si="120"/>
        <v>-0.6899489175</v>
      </c>
      <c r="L367" s="226">
        <f t="shared" si="120"/>
        <v>1.183351809</v>
      </c>
      <c r="M367" s="227">
        <f t="shared" si="120"/>
        <v>0.1113806803</v>
      </c>
      <c r="N367" s="228">
        <f t="shared" si="120"/>
        <v>1.341658517</v>
      </c>
      <c r="O367" s="226">
        <f t="shared" si="120"/>
        <v>-0.202240338</v>
      </c>
      <c r="P367" s="225">
        <f t="shared" si="120"/>
        <v>-0.1445106525</v>
      </c>
      <c r="Q367" s="226">
        <f t="shared" si="120"/>
        <v>1.577432909</v>
      </c>
      <c r="R367" s="227">
        <f t="shared" si="120"/>
        <v>0.4044044836</v>
      </c>
      <c r="S367" s="229">
        <f t="shared" si="120"/>
        <v>-1.637561405</v>
      </c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42"/>
      <c r="C368" s="42"/>
      <c r="D368" s="42"/>
      <c r="E368" s="42"/>
      <c r="F368" s="42"/>
      <c r="G368" s="42"/>
      <c r="H368" s="42"/>
      <c r="I368" s="42"/>
      <c r="J368" s="42"/>
      <c r="K368" s="94"/>
      <c r="L368" s="43" t="s">
        <v>3</v>
      </c>
      <c r="M368" s="94"/>
      <c r="N368" s="94"/>
      <c r="O368" s="3"/>
      <c r="P368" s="2"/>
      <c r="Q368" s="2"/>
      <c r="R368" s="43" t="s">
        <v>3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42"/>
      <c r="C369" s="42"/>
      <c r="D369" s="42"/>
      <c r="E369" s="42"/>
      <c r="F369" s="42"/>
      <c r="G369" s="42"/>
      <c r="H369" s="42"/>
      <c r="I369" s="42"/>
      <c r="J369" s="42"/>
      <c r="K369" s="42"/>
      <c r="L369" s="43" t="s">
        <v>3</v>
      </c>
      <c r="M369" s="94"/>
      <c r="N369" s="42"/>
      <c r="O369" s="3"/>
      <c r="P369" s="2"/>
      <c r="Q369" s="2"/>
      <c r="R369" s="43" t="s">
        <v>3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42"/>
      <c r="B370" s="66" t="s">
        <v>42</v>
      </c>
      <c r="C370" s="230">
        <f t="shared" ref="C370:G370" si="121">NORMINV(rand(),0, 1)</f>
        <v>-0.3943340522</v>
      </c>
      <c r="D370" s="231">
        <f t="shared" si="121"/>
        <v>1.332611199</v>
      </c>
      <c r="E370" s="232">
        <f t="shared" si="121"/>
        <v>-2.630876931</v>
      </c>
      <c r="F370" s="233">
        <f t="shared" si="121"/>
        <v>0.5850629822</v>
      </c>
      <c r="G370" s="234">
        <f t="shared" si="121"/>
        <v>-0.9017317227</v>
      </c>
      <c r="H370" s="94"/>
      <c r="I370" s="66" t="s">
        <v>43</v>
      </c>
      <c r="J370" s="235"/>
      <c r="K370" s="236"/>
      <c r="L370" s="236"/>
      <c r="M370" s="236"/>
      <c r="N370" s="237"/>
      <c r="O370" s="3"/>
      <c r="P370" s="2"/>
      <c r="Q370" s="2"/>
      <c r="R370" s="43" t="s">
        <v>3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42"/>
      <c r="C371" s="238">
        <f t="shared" ref="C371:G371" si="122">NORMINV(rand(),0, 1)</f>
        <v>1.055751855</v>
      </c>
      <c r="D371" s="239">
        <f t="shared" si="122"/>
        <v>-2.213597814</v>
      </c>
      <c r="E371" s="240">
        <f t="shared" si="122"/>
        <v>-0.9981276551</v>
      </c>
      <c r="F371" s="241">
        <f t="shared" si="122"/>
        <v>0.8903680764</v>
      </c>
      <c r="G371" s="242">
        <f t="shared" si="122"/>
        <v>0.323811195</v>
      </c>
      <c r="H371" s="94"/>
      <c r="I371" s="34" t="s">
        <v>6</v>
      </c>
      <c r="J371" s="243"/>
      <c r="K371" s="94"/>
      <c r="L371" s="94"/>
      <c r="M371" s="94"/>
      <c r="N371" s="244"/>
      <c r="O371" s="3"/>
      <c r="P371" s="2"/>
      <c r="Q371" s="2"/>
      <c r="R371" s="43" t="s">
        <v>3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42"/>
      <c r="B372" s="42"/>
      <c r="C372" s="245">
        <f t="shared" ref="C372:G372" si="123">NORMINV(rand(),0, 1)</f>
        <v>-0.1352506311</v>
      </c>
      <c r="D372" s="246">
        <f t="shared" si="123"/>
        <v>0.4545670862</v>
      </c>
      <c r="E372" s="247">
        <f t="shared" si="123"/>
        <v>-0.2608466585</v>
      </c>
      <c r="F372" s="248">
        <f t="shared" si="123"/>
        <v>-0.6609325047</v>
      </c>
      <c r="G372" s="249">
        <f t="shared" si="123"/>
        <v>-0.8730558521</v>
      </c>
      <c r="H372" s="43" t="s">
        <v>7</v>
      </c>
      <c r="I372" s="43" t="s">
        <v>7</v>
      </c>
      <c r="J372" s="243"/>
      <c r="K372" s="94"/>
      <c r="L372" s="94"/>
      <c r="M372" s="94"/>
      <c r="N372" s="244"/>
      <c r="O372" s="3"/>
      <c r="P372" s="2"/>
      <c r="Q372" s="2"/>
      <c r="R372" s="43" t="s">
        <v>3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42"/>
      <c r="B373" s="42"/>
      <c r="C373" s="250">
        <f t="shared" ref="C373:G373" si="124">NORMINV(rand(),0, 1)</f>
        <v>-0.4024562026</v>
      </c>
      <c r="D373" s="220">
        <f t="shared" si="124"/>
        <v>-0.5181988388</v>
      </c>
      <c r="E373" s="251">
        <f t="shared" si="124"/>
        <v>0.5922471553</v>
      </c>
      <c r="F373" s="252">
        <f t="shared" si="124"/>
        <v>-0.7839015383</v>
      </c>
      <c r="G373" s="253">
        <f t="shared" si="124"/>
        <v>-1.847583193</v>
      </c>
      <c r="H373" s="94"/>
      <c r="I373" s="42"/>
      <c r="J373" s="243"/>
      <c r="K373" s="94"/>
      <c r="L373" s="94"/>
      <c r="M373" s="94"/>
      <c r="N373" s="244"/>
      <c r="O373" s="3"/>
      <c r="P373" s="2"/>
      <c r="Q373" s="2"/>
      <c r="R373" s="43" t="s">
        <v>3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42"/>
      <c r="C374" s="254">
        <f t="shared" ref="C374:G374" si="125">NORMINV(rand(),0, 1)</f>
        <v>1.489453739</v>
      </c>
      <c r="D374" s="255">
        <f t="shared" si="125"/>
        <v>0.1559427825</v>
      </c>
      <c r="E374" s="256">
        <f t="shared" si="125"/>
        <v>-1.892717954</v>
      </c>
      <c r="F374" s="214">
        <f t="shared" si="125"/>
        <v>0.1827788261</v>
      </c>
      <c r="G374" s="257">
        <f t="shared" si="125"/>
        <v>0.8329599369</v>
      </c>
      <c r="H374" s="94"/>
      <c r="I374" s="42"/>
      <c r="J374" s="258"/>
      <c r="K374" s="259"/>
      <c r="L374" s="259"/>
      <c r="M374" s="259"/>
      <c r="N374" s="260"/>
      <c r="O374" s="3"/>
      <c r="P374" s="2"/>
      <c r="Q374" s="2"/>
      <c r="R374" s="43" t="s">
        <v>3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B375" s="42"/>
      <c r="C375" s="261">
        <f t="shared" ref="C375:G375" si="126">NORMINV(rand(),0, 1)</f>
        <v>-0.100855197</v>
      </c>
      <c r="D375" s="262">
        <f t="shared" si="126"/>
        <v>-0.2631437989</v>
      </c>
      <c r="E375" s="263">
        <f t="shared" si="126"/>
        <v>-0.3637407772</v>
      </c>
      <c r="F375" s="69">
        <f t="shared" si="126"/>
        <v>0.4983145687</v>
      </c>
      <c r="G375" s="264">
        <f t="shared" si="126"/>
        <v>-1.406648061</v>
      </c>
      <c r="O375" s="3"/>
      <c r="P375" s="2"/>
      <c r="Q375" s="2"/>
      <c r="R375" s="43" t="s">
        <v>3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B376" s="42"/>
      <c r="C376" s="238">
        <f t="shared" ref="C376:G376" si="127">NORMINV(rand(),0, 1)</f>
        <v>0.1530667087</v>
      </c>
      <c r="D376" s="239">
        <f t="shared" si="127"/>
        <v>1.307870247</v>
      </c>
      <c r="E376" s="240">
        <f t="shared" si="127"/>
        <v>-1.711450842</v>
      </c>
      <c r="F376" s="241">
        <f t="shared" si="127"/>
        <v>-0.5779132798</v>
      </c>
      <c r="G376" s="242">
        <f t="shared" si="127"/>
        <v>0.3462950899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3" t="s">
        <v>3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B377" s="42"/>
      <c r="C377" s="245">
        <f t="shared" ref="C377:G377" si="128">NORMINV(rand(),0, 1)</f>
        <v>0.05542457128</v>
      </c>
      <c r="D377" s="246">
        <f t="shared" si="128"/>
        <v>-1.591005088</v>
      </c>
      <c r="E377" s="247">
        <f t="shared" si="128"/>
        <v>-0.3910786883</v>
      </c>
      <c r="F377" s="248">
        <f t="shared" si="128"/>
        <v>-0.1934915578</v>
      </c>
      <c r="G377" s="249">
        <f t="shared" si="128"/>
        <v>0.05067660474</v>
      </c>
      <c r="H377" s="2"/>
      <c r="I377" s="2"/>
      <c r="J377" s="2"/>
      <c r="K377" s="2"/>
      <c r="L377" s="2"/>
      <c r="M377" s="2"/>
      <c r="N377" s="2"/>
      <c r="O377" s="3"/>
      <c r="P377" s="2"/>
      <c r="Q377" s="2"/>
      <c r="R377" s="43" t="s">
        <v>3</v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B378" s="42"/>
      <c r="C378" s="250">
        <f t="shared" ref="C378:G378" si="129">NORMINV(rand(),0, 1)</f>
        <v>1.693045493</v>
      </c>
      <c r="D378" s="220">
        <f t="shared" si="129"/>
        <v>-0.01144968715</v>
      </c>
      <c r="E378" s="251">
        <f t="shared" si="129"/>
        <v>-0.9095827093</v>
      </c>
      <c r="F378" s="252">
        <f t="shared" si="129"/>
        <v>0.4852716395</v>
      </c>
      <c r="G378" s="253">
        <f t="shared" si="129"/>
        <v>-0.4654657256</v>
      </c>
      <c r="H378" s="2"/>
      <c r="I378" s="2"/>
      <c r="J378" s="2"/>
      <c r="K378" s="2"/>
      <c r="L378" s="2"/>
      <c r="M378" s="2"/>
      <c r="N378" s="2"/>
      <c r="O378" s="3"/>
      <c r="P378" s="2"/>
      <c r="Q378" s="2"/>
      <c r="R378" s="43" t="s">
        <v>3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C379" s="265">
        <f t="shared" ref="C379:G379" si="130">NORMINV(rand(),0, 1)</f>
        <v>-0.652394426</v>
      </c>
      <c r="D379" s="266">
        <f t="shared" si="130"/>
        <v>0.20395703</v>
      </c>
      <c r="E379" s="267">
        <f t="shared" si="130"/>
        <v>0.2428554176</v>
      </c>
      <c r="F379" s="268">
        <f t="shared" si="130"/>
        <v>1.029752214</v>
      </c>
      <c r="G379" s="269">
        <f t="shared" si="130"/>
        <v>-0.7004776168</v>
      </c>
      <c r="H379" s="2"/>
      <c r="I379" s="2"/>
      <c r="J379" s="2"/>
      <c r="K379" s="2"/>
      <c r="L379" s="2"/>
      <c r="M379" s="2"/>
      <c r="N379" s="2"/>
      <c r="R379" s="43" t="s">
        <v>3</v>
      </c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B380" s="1"/>
      <c r="O380" s="3"/>
      <c r="P380" s="2"/>
      <c r="Q380" s="2"/>
      <c r="R380" s="43" t="s">
        <v>3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B381" s="1"/>
      <c r="O381" s="3"/>
      <c r="P381" s="2"/>
      <c r="Q381" s="2"/>
      <c r="R381" s="43" t="s">
        <v>3</v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B382" s="66" t="s">
        <v>44</v>
      </c>
      <c r="C382" s="230">
        <f t="shared" ref="C382:G382" si="131">NORMINV(rand(),0, 1)</f>
        <v>-0.1742757445</v>
      </c>
      <c r="D382" s="231">
        <f t="shared" si="131"/>
        <v>0.4036225986</v>
      </c>
      <c r="E382" s="232">
        <f t="shared" si="131"/>
        <v>1.19076804</v>
      </c>
      <c r="F382" s="233">
        <f t="shared" si="131"/>
        <v>-1.127806211</v>
      </c>
      <c r="G382" s="234">
        <f t="shared" si="131"/>
        <v>0.5359127738</v>
      </c>
      <c r="H382" s="94"/>
      <c r="I382" s="66" t="s">
        <v>45</v>
      </c>
      <c r="J382" s="235"/>
      <c r="K382" s="236"/>
      <c r="L382" s="236"/>
      <c r="M382" s="236"/>
      <c r="N382" s="237"/>
      <c r="O382" s="3"/>
      <c r="P382" s="2"/>
      <c r="Q382" s="2"/>
      <c r="R382" s="43" t="s">
        <v>3</v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C383" s="238">
        <f t="shared" ref="C383:G383" si="132">NORMINV(rand(),0, 1)</f>
        <v>2.147017616</v>
      </c>
      <c r="D383" s="239">
        <f t="shared" si="132"/>
        <v>0.2281895708</v>
      </c>
      <c r="E383" s="240">
        <f t="shared" si="132"/>
        <v>1.336862772</v>
      </c>
      <c r="F383" s="241">
        <f t="shared" si="132"/>
        <v>-0.07372100769</v>
      </c>
      <c r="G383" s="242">
        <f t="shared" si="132"/>
        <v>0.5719788924</v>
      </c>
      <c r="H383" s="94"/>
      <c r="I383" s="34" t="s">
        <v>6</v>
      </c>
      <c r="J383" s="243"/>
      <c r="K383" s="94"/>
      <c r="L383" s="94"/>
      <c r="M383" s="94"/>
      <c r="N383" s="244"/>
      <c r="O383" s="21" t="s">
        <v>41</v>
      </c>
      <c r="P383" s="21" t="s">
        <v>41</v>
      </c>
      <c r="Q383" s="21" t="s">
        <v>41</v>
      </c>
      <c r="R383" s="43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B384" s="42"/>
      <c r="C384" s="245">
        <f t="shared" ref="C384:G384" si="133">NORMINV(rand(),0, 1)</f>
        <v>1.05351292</v>
      </c>
      <c r="D384" s="246">
        <f t="shared" si="133"/>
        <v>0.3076803706</v>
      </c>
      <c r="E384" s="247">
        <f t="shared" si="133"/>
        <v>-0.2818465845</v>
      </c>
      <c r="F384" s="248">
        <f t="shared" si="133"/>
        <v>0.4105596038</v>
      </c>
      <c r="G384" s="249">
        <f t="shared" si="133"/>
        <v>2.701804627</v>
      </c>
      <c r="H384" s="43" t="s">
        <v>7</v>
      </c>
      <c r="I384" s="43" t="s">
        <v>7</v>
      </c>
      <c r="J384" s="243"/>
      <c r="K384" s="94"/>
      <c r="L384" s="94"/>
      <c r="M384" s="94"/>
      <c r="N384" s="244"/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B385" s="42"/>
      <c r="C385" s="250">
        <f t="shared" ref="C385:G385" si="134">NORMINV(rand(),0, 1)</f>
        <v>0.3996618916</v>
      </c>
      <c r="D385" s="220">
        <f t="shared" si="134"/>
        <v>-1.006852791</v>
      </c>
      <c r="E385" s="251">
        <f t="shared" si="134"/>
        <v>0.7686607828</v>
      </c>
      <c r="F385" s="252">
        <f t="shared" si="134"/>
        <v>-1.29721299</v>
      </c>
      <c r="G385" s="253">
        <f t="shared" si="134"/>
        <v>-0.2808937653</v>
      </c>
      <c r="H385" s="94"/>
      <c r="I385" s="42"/>
      <c r="J385" s="243"/>
      <c r="K385" s="94"/>
      <c r="L385" s="94"/>
      <c r="M385" s="94"/>
      <c r="N385" s="244"/>
      <c r="O385" s="3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C386" s="254">
        <f t="shared" ref="C386:G386" si="135">NORMINV(rand(),0, 1)</f>
        <v>-0.7845710547</v>
      </c>
      <c r="D386" s="255">
        <f t="shared" si="135"/>
        <v>0.8494689498</v>
      </c>
      <c r="E386" s="256">
        <f t="shared" si="135"/>
        <v>-1.388513854</v>
      </c>
      <c r="F386" s="214">
        <f t="shared" si="135"/>
        <v>0.6918927506</v>
      </c>
      <c r="G386" s="257">
        <f t="shared" si="135"/>
        <v>1.387348624</v>
      </c>
      <c r="H386" s="94"/>
      <c r="I386" s="42"/>
      <c r="J386" s="258"/>
      <c r="K386" s="259"/>
      <c r="L386" s="259"/>
      <c r="M386" s="259"/>
      <c r="N386" s="260"/>
      <c r="O386" s="3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B387" s="42"/>
      <c r="C387" s="261">
        <f t="shared" ref="C387:G387" si="136">NORMINV(rand(),0, 1)</f>
        <v>-1.685871773</v>
      </c>
      <c r="D387" s="262">
        <f t="shared" si="136"/>
        <v>0.8941350344</v>
      </c>
      <c r="E387" s="263">
        <f t="shared" si="136"/>
        <v>0.04006749689</v>
      </c>
      <c r="F387" s="69">
        <f t="shared" si="136"/>
        <v>-0.4303414773</v>
      </c>
      <c r="G387" s="264">
        <f t="shared" si="136"/>
        <v>-0.7837659398</v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B388" s="42"/>
      <c r="C388" s="238">
        <f t="shared" ref="C388:G388" si="137">NORMINV(rand(),0, 1)</f>
        <v>-0.1711367588</v>
      </c>
      <c r="D388" s="239">
        <f t="shared" si="137"/>
        <v>0.7353060512</v>
      </c>
      <c r="E388" s="240">
        <f t="shared" si="137"/>
        <v>-0.3565168649</v>
      </c>
      <c r="F388" s="241">
        <f t="shared" si="137"/>
        <v>-0.4381190534</v>
      </c>
      <c r="G388" s="242">
        <f t="shared" si="137"/>
        <v>1.279605208</v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B389" s="42"/>
      <c r="C389" s="245">
        <f t="shared" ref="C389:G389" si="138">NORMINV(rand(),0, 1)</f>
        <v>0.5588054823</v>
      </c>
      <c r="D389" s="246">
        <f t="shared" si="138"/>
        <v>-0.8459070191</v>
      </c>
      <c r="E389" s="247">
        <f t="shared" si="138"/>
        <v>0.02307628539</v>
      </c>
      <c r="F389" s="248">
        <f t="shared" si="138"/>
        <v>0.9360027734</v>
      </c>
      <c r="G389" s="249">
        <f t="shared" si="138"/>
        <v>-0.5089355811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B390" s="42"/>
      <c r="C390" s="250">
        <f t="shared" ref="C390:G390" si="139">NORMINV(rand(),0, 1)</f>
        <v>0.175513458</v>
      </c>
      <c r="D390" s="220">
        <f t="shared" si="139"/>
        <v>-1.576915837</v>
      </c>
      <c r="E390" s="251">
        <f t="shared" si="139"/>
        <v>-0.1739045806</v>
      </c>
      <c r="F390" s="252">
        <f t="shared" si="139"/>
        <v>1.297021113</v>
      </c>
      <c r="G390" s="253">
        <f t="shared" si="139"/>
        <v>-2.248267101</v>
      </c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C391" s="265">
        <f t="shared" ref="C391:G391" si="140">NORMINV(rand(),0, 1)</f>
        <v>-1.107613201</v>
      </c>
      <c r="D391" s="266">
        <f t="shared" si="140"/>
        <v>-0.4245143542</v>
      </c>
      <c r="E391" s="267">
        <f t="shared" si="140"/>
        <v>-0.2211268634</v>
      </c>
      <c r="F391" s="268">
        <f t="shared" si="140"/>
        <v>-0.4105904223</v>
      </c>
      <c r="G391" s="269">
        <f t="shared" si="140"/>
        <v>0.6847800259</v>
      </c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3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3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3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3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3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3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3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3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3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3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3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3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3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3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3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3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>
      <c r="B1034" s="1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3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>
      <c r="B1035" s="1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3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>
      <c r="B1036" s="1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3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>
      <c r="B1037" s="1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3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>
      <c r="B1038" s="1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3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>
      <c r="B1039" s="1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3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</sheetData>
  <mergeCells count="18">
    <mergeCell ref="A2:Z2"/>
    <mergeCell ref="A12:Z12"/>
    <mergeCell ref="C14:E14"/>
    <mergeCell ref="A27:Z27"/>
    <mergeCell ref="C29:E29"/>
    <mergeCell ref="A42:Z42"/>
    <mergeCell ref="C44:E44"/>
    <mergeCell ref="A291:Z291"/>
    <mergeCell ref="A351:B352"/>
    <mergeCell ref="A355:B356"/>
    <mergeCell ref="C363:E363"/>
    <mergeCell ref="A57:Z57"/>
    <mergeCell ref="A83:Z83"/>
    <mergeCell ref="A119:Z119"/>
    <mergeCell ref="A145:Z145"/>
    <mergeCell ref="A164:Z164"/>
    <mergeCell ref="A201:Z201"/>
    <mergeCell ref="A253:Z253"/>
  </mergeCells>
  <conditionalFormatting sqref="J14:O1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:G26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:N33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6:G40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4:N48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51:G55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5:G69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5:N69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5:U69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5:AE69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1:G76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2:N76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2:U76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2:AE76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9:G82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9:N82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9:U82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9:AE82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5:O89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2:O96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9:G103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1:N155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8:N162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7:G171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7:N171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7:U171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3:G178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4:N178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4:U178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81:R185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5:G199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5:M199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5:N196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5:T199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8:N199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9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9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11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:J25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1:O26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2:P26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8:P28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6:N40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3:P43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51:N55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3:N117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9:N143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8:G162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9:N110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5:N129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2:J136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3:K136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4:L136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5:M136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6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2:N136">
    <cfRule type="cellIs" dxfId="0" priority="63" stopIfTrue="1" operator="equal">
      <formula>-99</formula>
    </cfRule>
  </conditionalFormatting>
  <conditionalFormatting sqref="C181:D187">
    <cfRule type="cellIs" dxfId="0" priority="64" stopIfTrue="1" operator="equal">
      <formula>-99</formula>
    </cfRule>
  </conditionalFormatting>
  <conditionalFormatting sqref="E181:H192">
    <cfRule type="cellIs" dxfId="0" priority="65" stopIfTrue="1" operator="equal">
      <formula>-99</formula>
    </cfRule>
  </conditionalFormatting>
  <conditionalFormatting sqref="I188:I192">
    <cfRule type="cellIs" dxfId="0" priority="66" stopIfTrue="1" operator="equal">
      <formula>-99</formula>
    </cfRule>
  </conditionalFormatting>
  <conditionalFormatting sqref="Y203:AE207">
    <cfRule type="cellIs" dxfId="0" priority="67" stopIfTrue="1" operator="equal">
      <formula>-99</formula>
    </cfRule>
  </conditionalFormatting>
  <conditionalFormatting sqref="Y293:AE297">
    <cfRule type="cellIs" dxfId="0" priority="68" stopIfTrue="1" operator="equal">
      <formula>-99</formula>
    </cfRule>
  </conditionalFormatting>
  <conditionalFormatting sqref="C132:N136">
    <cfRule type="cellIs" dxfId="1" priority="69" stopIfTrue="1" operator="equal">
      <formula>0</formula>
    </cfRule>
  </conditionalFormatting>
  <conditionalFormatting sqref="C181:D187">
    <cfRule type="cellIs" dxfId="1" priority="70" stopIfTrue="1" operator="equal">
      <formula>0</formula>
    </cfRule>
  </conditionalFormatting>
  <conditionalFormatting sqref="E181:H192">
    <cfRule type="cellIs" dxfId="1" priority="71" stopIfTrue="1" operator="equal">
      <formula>0</formula>
    </cfRule>
  </conditionalFormatting>
  <conditionalFormatting sqref="I188:I192">
    <cfRule type="cellIs" dxfId="1" priority="72" stopIfTrue="1" operator="equal">
      <formula>0</formula>
    </cfRule>
  </conditionalFormatting>
  <conditionalFormatting sqref="Y203:AE207">
    <cfRule type="cellIs" dxfId="1" priority="73" stopIfTrue="1" operator="equal">
      <formula>0</formula>
    </cfRule>
  </conditionalFormatting>
  <conditionalFormatting sqref="Y293:AE297">
    <cfRule type="cellIs" dxfId="1" priority="74" stopIfTrue="1" operator="equal">
      <formula>0</formula>
    </cfRule>
  </conditionalFormatting>
  <conditionalFormatting sqref="M188:M189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91:M192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6:F237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9:F240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5:L275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8:M319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21:M322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3:T207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3:T297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5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0:G214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0:N214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0:V214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0:AE214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6:G220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6:N220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6:V220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6:AE220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2:G226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2:N226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2:V226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2:AE226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61:G265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61:M265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61:S265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8:S272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5:I289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5:P279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9:N310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9:O303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9:Q309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9:V310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0:D304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0:F304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0:I304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0:AE304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5:O309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6:D310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6:F310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6:I309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6:AE310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5:G329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5:N329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5:V329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5:AE329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2:K336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2:Z336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9:Z233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2:V316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2:Z316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9:K233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11:U315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6:Z240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9:V323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9:Z323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8:U322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8:R192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6:K240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3:Z247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3:K247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70:N374 J382:N388">
    <cfRule type="colorScale" priority="1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9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4" t="s">
        <v>0</v>
      </c>
      <c r="AA10" s="4"/>
      <c r="AB10" s="4"/>
      <c r="AC10" s="4"/>
    </row>
    <row r="11">
      <c r="B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C12" s="5"/>
      <c r="I12" s="6" t="s">
        <v>1</v>
      </c>
      <c r="J12" s="7">
        <f t="shared" ref="J12:N12" si="1">NORMINV(rand(),0, 1)</f>
        <v>1.281387538</v>
      </c>
      <c r="K12" s="8">
        <f t="shared" si="1"/>
        <v>0.7727707634</v>
      </c>
      <c r="L12" s="8">
        <f t="shared" si="1"/>
        <v>1.404505171</v>
      </c>
      <c r="M12" s="8">
        <f t="shared" si="1"/>
        <v>-0.3745178956</v>
      </c>
      <c r="N12" s="9">
        <f t="shared" si="1"/>
        <v>0.3345687974</v>
      </c>
      <c r="O12" s="3"/>
      <c r="P12" s="10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I13" s="6" t="s">
        <v>2</v>
      </c>
      <c r="J13" s="11">
        <f t="shared" ref="J13:N13" si="2">NORMINV(rand(),0, 1)</f>
        <v>-0.4983869596</v>
      </c>
      <c r="K13" s="10">
        <f t="shared" si="2"/>
        <v>-0.002812685085</v>
      </c>
      <c r="L13" s="10">
        <f t="shared" si="2"/>
        <v>0.426828767</v>
      </c>
      <c r="M13" s="10">
        <f t="shared" si="2"/>
        <v>-0.1648771991</v>
      </c>
      <c r="N13" s="12">
        <f t="shared" si="2"/>
        <v>-2.072407619</v>
      </c>
      <c r="O13" s="3"/>
      <c r="P13" s="10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I14" s="1"/>
      <c r="J14" s="11">
        <f t="shared" ref="J14:N14" si="3">NORMINV(rand(),0, 1)</f>
        <v>0.7410793146</v>
      </c>
      <c r="K14" s="10">
        <f t="shared" si="3"/>
        <v>0.2365972637</v>
      </c>
      <c r="L14" s="10">
        <f t="shared" si="3"/>
        <v>0.439427598</v>
      </c>
      <c r="M14" s="10">
        <f t="shared" si="3"/>
        <v>0.9628273434</v>
      </c>
      <c r="N14" s="12">
        <f t="shared" si="3"/>
        <v>0.4601787007</v>
      </c>
      <c r="O14" s="3"/>
      <c r="P14" s="10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I15" s="1"/>
      <c r="J15" s="11">
        <f t="shared" ref="J15:N15" si="4">NORMINV(rand(),0, 1)</f>
        <v>1.899156442</v>
      </c>
      <c r="K15" s="10">
        <f t="shared" si="4"/>
        <v>0.7037587679</v>
      </c>
      <c r="L15" s="10">
        <f t="shared" si="4"/>
        <v>-0.2196093992</v>
      </c>
      <c r="M15" s="10">
        <f t="shared" si="4"/>
        <v>-0.9480810505</v>
      </c>
      <c r="N15" s="12">
        <f t="shared" si="4"/>
        <v>1.175062763</v>
      </c>
      <c r="O15" s="3"/>
      <c r="P15" s="10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I16" s="1"/>
      <c r="J16" s="13">
        <f t="shared" ref="J16:N16" si="5">NORMINV(rand(),0, 1)</f>
        <v>-0.6541611223</v>
      </c>
      <c r="K16" s="14">
        <f t="shared" si="5"/>
        <v>0.6117056253</v>
      </c>
      <c r="L16" s="14">
        <f t="shared" si="5"/>
        <v>0.6757049003</v>
      </c>
      <c r="M16" s="14">
        <f t="shared" si="5"/>
        <v>0.6166087993</v>
      </c>
      <c r="N16" s="15">
        <f t="shared" si="5"/>
        <v>0.5460761694</v>
      </c>
      <c r="O16" s="3"/>
      <c r="P16" s="10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I17" s="2"/>
      <c r="J17" s="1"/>
      <c r="K17" s="8"/>
      <c r="L17" s="16" t="s">
        <v>3</v>
      </c>
      <c r="M17" s="17"/>
      <c r="N17" s="8"/>
      <c r="O17" s="18"/>
      <c r="P17" s="10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B18" s="1"/>
      <c r="C18" s="2"/>
      <c r="D18" s="2"/>
      <c r="E18" s="2"/>
      <c r="F18" s="2"/>
      <c r="G18" s="2"/>
      <c r="H18" s="2"/>
      <c r="I18" s="2"/>
      <c r="J18" s="2"/>
      <c r="K18" s="2"/>
      <c r="L18" s="17" t="s">
        <v>3</v>
      </c>
      <c r="M18" s="17"/>
      <c r="N18" s="2"/>
      <c r="O18" s="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B19" s="6" t="s">
        <v>4</v>
      </c>
      <c r="C19" s="7">
        <f t="shared" ref="C19:G19" si="6">NORMINV(rand(),0, 1)</f>
        <v>-0.4905824713</v>
      </c>
      <c r="D19" s="8">
        <f t="shared" si="6"/>
        <v>0.4343007718</v>
      </c>
      <c r="E19" s="8">
        <f t="shared" si="6"/>
        <v>-0.6370828636</v>
      </c>
      <c r="F19" s="8">
        <f t="shared" si="6"/>
        <v>-0.5452866282</v>
      </c>
      <c r="G19" s="8">
        <f t="shared" si="6"/>
        <v>-0.4478804462</v>
      </c>
      <c r="H19" s="11"/>
      <c r="I19" s="6" t="s">
        <v>5</v>
      </c>
      <c r="J19" s="7">
        <f t="array" ref="J19:N23">MMULT(C19:G23,$J$12:$N$16)</f>
        <v>-2.059803675</v>
      </c>
      <c r="K19" s="8">
        <v>-1.1887826384576092</v>
      </c>
      <c r="L19" s="8">
        <v>-0.966490290675394</v>
      </c>
      <c r="M19" s="8">
        <v>-0.2604662858946342</v>
      </c>
      <c r="N19" s="9">
        <v>-2.2426766306070536</v>
      </c>
      <c r="O19" s="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B20" s="1"/>
      <c r="C20" s="11">
        <f t="shared" ref="C20:G20" si="7">NORMINV(rand(),0, 1)</f>
        <v>-0.5769162734</v>
      </c>
      <c r="D20" s="10">
        <f t="shared" si="7"/>
        <v>0.3862587448</v>
      </c>
      <c r="E20" s="10">
        <f t="shared" si="7"/>
        <v>0.02535733129</v>
      </c>
      <c r="F20" s="10">
        <f t="shared" si="7"/>
        <v>-0.7431960684</v>
      </c>
      <c r="G20" s="10">
        <f t="shared" si="7"/>
        <v>0.08196811759</v>
      </c>
      <c r="H20" s="11"/>
      <c r="I20" s="6" t="s">
        <v>6</v>
      </c>
      <c r="J20" s="11">
        <v>-2.378033807295456</v>
      </c>
      <c r="K20" s="10">
        <v>-0.9138013688021591</v>
      </c>
      <c r="L20" s="10">
        <v>-0.4156737333842953</v>
      </c>
      <c r="M20" s="10">
        <v>0.9319473124862125</v>
      </c>
      <c r="N20" s="12">
        <v>-1.810376035700639</v>
      </c>
      <c r="O20" s="3"/>
      <c r="P20" s="10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B21" s="1"/>
      <c r="C21" s="11">
        <f t="shared" ref="C21:G21" si="8">NORMINV(rand(),0, 1)</f>
        <v>0.6305218992</v>
      </c>
      <c r="D21" s="10">
        <f t="shared" si="8"/>
        <v>-1.669651737</v>
      </c>
      <c r="E21" s="10">
        <f t="shared" si="8"/>
        <v>-2.034821588</v>
      </c>
      <c r="F21" s="10">
        <f t="shared" si="8"/>
        <v>0.5958095276</v>
      </c>
      <c r="G21" s="10">
        <f t="shared" si="8"/>
        <v>0.2798876154</v>
      </c>
      <c r="H21" s="19" t="s">
        <v>7</v>
      </c>
      <c r="I21" s="17" t="s">
        <v>7</v>
      </c>
      <c r="J21" s="11">
        <v>1.0805552740285753</v>
      </c>
      <c r="K21" s="10">
        <v>0.6010268817371652</v>
      </c>
      <c r="L21" s="10">
        <v>-0.6629648263893625</v>
      </c>
      <c r="M21" s="10">
        <v>-2.3123306537131016</v>
      </c>
      <c r="N21" s="12">
        <v>3.5877239248307693</v>
      </c>
      <c r="O21" s="3"/>
      <c r="P21" s="10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B22" s="1"/>
      <c r="C22" s="11">
        <f t="shared" ref="C22:G22" si="9">NORMINV(rand(),0, 1)</f>
        <v>0.5304950596</v>
      </c>
      <c r="D22" s="10">
        <f t="shared" si="9"/>
        <v>0.3654068567</v>
      </c>
      <c r="E22" s="10">
        <f t="shared" si="9"/>
        <v>-0.7032462594</v>
      </c>
      <c r="F22" s="10">
        <f t="shared" si="9"/>
        <v>0.7603596265</v>
      </c>
      <c r="G22" s="10">
        <f t="shared" si="9"/>
        <v>1.27886721</v>
      </c>
      <c r="H22" s="11"/>
      <c r="I22" s="2"/>
      <c r="J22" s="11">
        <v>0.5839511633110179</v>
      </c>
      <c r="K22" s="10">
        <v>1.5599371770142052</v>
      </c>
      <c r="L22" s="10">
        <v>1.2891781174505526</v>
      </c>
      <c r="M22" s="10">
        <v>-0.8683536589960245</v>
      </c>
      <c r="N22" s="12">
        <v>0.6884253812332344</v>
      </c>
      <c r="O22" s="3"/>
      <c r="P22" s="10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B23" s="1"/>
      <c r="C23" s="13">
        <f t="shared" ref="C23:G23" si="10">NORMINV(rand(),0, 1)</f>
        <v>-0.5451481944</v>
      </c>
      <c r="D23" s="14">
        <f t="shared" si="10"/>
        <v>-0.9993612131</v>
      </c>
      <c r="E23" s="14">
        <f t="shared" si="10"/>
        <v>0.3424155975</v>
      </c>
      <c r="F23" s="14">
        <f t="shared" si="10"/>
        <v>-0.4216631791</v>
      </c>
      <c r="G23" s="14">
        <f t="shared" si="10"/>
        <v>-1.307972278</v>
      </c>
      <c r="H23" s="11"/>
      <c r="I23" s="2"/>
      <c r="J23" s="13">
        <v>0.10809988102539725</v>
      </c>
      <c r="K23" s="14">
        <v>-1.4342922640958569</v>
      </c>
      <c r="L23" s="14">
        <v>-1.8329547890388942</v>
      </c>
      <c r="M23" s="14">
        <v>0.2918903862366159</v>
      </c>
      <c r="N23" s="15">
        <v>0.8365333889155054</v>
      </c>
      <c r="O23" s="3"/>
      <c r="P23" s="10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O24" s="3"/>
      <c r="P24" s="10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4" t="s">
        <v>8</v>
      </c>
      <c r="AA25" s="4"/>
      <c r="AB25" s="4"/>
      <c r="AC25" s="4"/>
    </row>
    <row r="26">
      <c r="B26" s="1"/>
      <c r="C26" s="10"/>
      <c r="D26" s="10"/>
      <c r="E26" s="10"/>
      <c r="F26" s="10"/>
      <c r="G26" s="10"/>
      <c r="H26" s="10"/>
      <c r="I26" s="2"/>
      <c r="J26" s="2"/>
      <c r="K26" s="10"/>
      <c r="L26" s="10"/>
      <c r="M26" s="10"/>
      <c r="N26" s="10"/>
      <c r="O26" s="18"/>
      <c r="P26" s="10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C27" s="5"/>
      <c r="I27" s="6" t="s">
        <v>1</v>
      </c>
      <c r="J27" s="7">
        <f t="array" ref="J27:N31">J12:N16</f>
        <v>1.281387538</v>
      </c>
      <c r="K27" s="8">
        <v>0.7727707633570199</v>
      </c>
      <c r="L27" s="8">
        <v>1.4045051709836391</v>
      </c>
      <c r="M27" s="8">
        <v>-0.37451789563934873</v>
      </c>
      <c r="N27" s="9">
        <v>0.3345687974124911</v>
      </c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I28" s="6" t="s">
        <v>2</v>
      </c>
      <c r="J28" s="11">
        <v>-0.49838695956324863</v>
      </c>
      <c r="K28" s="10">
        <v>-0.002812685085030789</v>
      </c>
      <c r="L28" s="10">
        <v>0.4268287669775717</v>
      </c>
      <c r="M28" s="10">
        <v>-0.16487719908617207</v>
      </c>
      <c r="N28" s="12">
        <v>-2.072407618559388</v>
      </c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I29" s="1"/>
      <c r="J29" s="11">
        <v>0.7410793146158806</v>
      </c>
      <c r="K29" s="10">
        <v>0.23659726372662718</v>
      </c>
      <c r="L29" s="10">
        <v>0.4394275980216046</v>
      </c>
      <c r="M29" s="10">
        <v>0.9628273434122897</v>
      </c>
      <c r="N29" s="12">
        <v>0.4601787007338566</v>
      </c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I30" s="1"/>
      <c r="J30" s="11">
        <v>1.8991564417143434</v>
      </c>
      <c r="K30" s="10">
        <v>0.7037587679130394</v>
      </c>
      <c r="L30" s="10">
        <v>-0.2196093992482537</v>
      </c>
      <c r="M30" s="10">
        <v>-0.9480810505105399</v>
      </c>
      <c r="N30" s="12">
        <v>1.175062763272059</v>
      </c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I31" s="1"/>
      <c r="J31" s="13">
        <v>-0.654161122344408</v>
      </c>
      <c r="K31" s="14">
        <v>0.6117056252611617</v>
      </c>
      <c r="L31" s="14">
        <v>0.6757049002716943</v>
      </c>
      <c r="M31" s="14">
        <v>0.61660879928997</v>
      </c>
      <c r="N31" s="15">
        <v>0.5460761694101726</v>
      </c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I32" s="2"/>
      <c r="J32" s="1"/>
      <c r="K32" s="8"/>
      <c r="L32" s="16" t="s">
        <v>3</v>
      </c>
      <c r="M32" s="17"/>
      <c r="N32" s="8"/>
      <c r="O32" s="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B33" s="1"/>
      <c r="C33" s="2"/>
      <c r="D33" s="2"/>
      <c r="E33" s="2"/>
      <c r="F33" s="2"/>
      <c r="G33" s="2"/>
      <c r="H33" s="2"/>
      <c r="I33" s="2"/>
      <c r="J33" s="2"/>
      <c r="K33" s="2"/>
      <c r="L33" s="17" t="s">
        <v>3</v>
      </c>
      <c r="M33" s="17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B34" s="6" t="s">
        <v>10</v>
      </c>
      <c r="C34" s="7">
        <f t="shared" ref="C34:G34" si="11">NORMINV(rand(),0, 1)</f>
        <v>0.1099653612</v>
      </c>
      <c r="D34" s="8">
        <f t="shared" si="11"/>
        <v>-1.011404356</v>
      </c>
      <c r="E34" s="8">
        <f t="shared" si="11"/>
        <v>-0.8631611778</v>
      </c>
      <c r="F34" s="8">
        <f t="shared" si="11"/>
        <v>-0.4494392792</v>
      </c>
      <c r="G34" s="8">
        <f t="shared" si="11"/>
        <v>0.1865643562</v>
      </c>
      <c r="H34" s="11"/>
      <c r="I34" s="6" t="s">
        <v>11</v>
      </c>
      <c r="J34" s="7">
        <f t="array" ref="J34:N38">MMULT(C34:G38,$J$12:$N$16)</f>
        <v>-0.9702905599</v>
      </c>
      <c r="K34" s="8">
        <v>-0.31857316197993646</v>
      </c>
      <c r="L34" s="8">
        <v>-0.4317828588640095</v>
      </c>
      <c r="M34" s="8">
        <v>-0.16435957443218363</v>
      </c>
      <c r="N34" s="9">
        <v>1.3093836691276548</v>
      </c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B35" s="1"/>
      <c r="C35" s="11">
        <f t="shared" ref="C35:G35" si="12">NORMINV(rand(),0, 1)</f>
        <v>-1.054842258</v>
      </c>
      <c r="D35" s="10">
        <f t="shared" si="12"/>
        <v>1.214556093</v>
      </c>
      <c r="E35" s="10">
        <f t="shared" si="12"/>
        <v>1.344596692</v>
      </c>
      <c r="F35" s="10">
        <f t="shared" si="12"/>
        <v>-0.4745576455</v>
      </c>
      <c r="G35" s="10">
        <f t="shared" si="12"/>
        <v>1.149268766</v>
      </c>
      <c r="H35" s="11"/>
      <c r="I35" s="6" t="s">
        <v>12</v>
      </c>
      <c r="J35" s="11">
        <v>-2.6135940024111455</v>
      </c>
      <c r="K35" s="10">
        <v>-0.13139945690025134</v>
      </c>
      <c r="L35" s="10">
        <v>0.5085128255266107</v>
      </c>
      <c r="M35" s="10">
        <v>2.6479875014620733</v>
      </c>
      <c r="N35" s="12">
        <v>-2.181264580412378</v>
      </c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B36" s="1"/>
      <c r="C36" s="11">
        <f t="shared" ref="C36:G36" si="13">NORMINV(rand(),0, 1)</f>
        <v>0.1474307231</v>
      </c>
      <c r="D36" s="10">
        <f t="shared" si="13"/>
        <v>0.396626491</v>
      </c>
      <c r="E36" s="10">
        <f t="shared" si="13"/>
        <v>0.5225253623</v>
      </c>
      <c r="F36" s="10">
        <f t="shared" si="13"/>
        <v>0.2317370662</v>
      </c>
      <c r="G36" s="10">
        <f t="shared" si="13"/>
        <v>0.6491296158</v>
      </c>
      <c r="H36" s="19" t="s">
        <v>7</v>
      </c>
      <c r="I36" s="17" t="s">
        <v>7</v>
      </c>
      <c r="J36" s="11">
        <v>0.3939447416719561</v>
      </c>
      <c r="K36" s="10">
        <v>0.7966058676714558</v>
      </c>
      <c r="L36" s="10">
        <v>0.9936992983594386</v>
      </c>
      <c r="M36" s="10">
        <v>0.5630451091837663</v>
      </c>
      <c r="N36" s="12">
        <v>0.09458881174265121</v>
      </c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B37" s="1"/>
      <c r="C37" s="11">
        <f t="shared" ref="C37:G37" si="14">NORMINV(rand(),0, 1)</f>
        <v>-0.8693821414</v>
      </c>
      <c r="D37" s="10">
        <f t="shared" si="14"/>
        <v>-0.2309889975</v>
      </c>
      <c r="E37" s="10">
        <f t="shared" si="14"/>
        <v>0.05616340995</v>
      </c>
      <c r="F37" s="10">
        <f t="shared" si="14"/>
        <v>-1.583207462</v>
      </c>
      <c r="G37" s="10">
        <f t="shared" si="14"/>
        <v>-1.525406104</v>
      </c>
      <c r="H37" s="11"/>
      <c r="I37" s="2"/>
      <c r="J37" s="11">
        <v>-2.966169277474871</v>
      </c>
      <c r="K37" s="10">
        <v>-2.705190920097378</v>
      </c>
      <c r="L37" s="10">
        <v>-1.9780018493653624</v>
      </c>
      <c r="M37" s="10">
        <v>0.9781898237566552</v>
      </c>
      <c r="N37" s="12">
        <v>-2.4796756315833335</v>
      </c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B38" s="1"/>
      <c r="C38" s="13">
        <f t="shared" ref="C38:G38" si="15">NORMINV(rand(),0, 1)</f>
        <v>1.096353668</v>
      </c>
      <c r="D38" s="14">
        <f t="shared" si="15"/>
        <v>1.281849444</v>
      </c>
      <c r="E38" s="14">
        <f t="shared" si="15"/>
        <v>1.093020307</v>
      </c>
      <c r="F38" s="14">
        <f t="shared" si="15"/>
        <v>-0.2768926528</v>
      </c>
      <c r="G38" s="14">
        <f t="shared" si="15"/>
        <v>0.1132479936</v>
      </c>
      <c r="H38" s="11"/>
      <c r="I38" s="2"/>
      <c r="J38" s="13">
        <v>0.9760667198289665</v>
      </c>
      <c r="K38" s="14">
        <v>0.9766390382606689</v>
      </c>
      <c r="L38" s="14">
        <v>2.70459835438816</v>
      </c>
      <c r="M38" s="14">
        <v>0.7627844102361706</v>
      </c>
      <c r="N38" s="15">
        <v>-2.0502483752272966</v>
      </c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4" t="s">
        <v>13</v>
      </c>
      <c r="AA40" s="4"/>
      <c r="AB40" s="4"/>
      <c r="AC40" s="4"/>
    </row>
    <row r="41">
      <c r="B41" s="1"/>
      <c r="C41" s="10"/>
      <c r="D41" s="10"/>
      <c r="E41" s="10"/>
      <c r="F41" s="10"/>
      <c r="G41" s="10"/>
      <c r="H41" s="10"/>
      <c r="I41" s="2"/>
      <c r="J41" s="2"/>
      <c r="K41" s="10"/>
      <c r="L41" s="10"/>
      <c r="M41" s="10"/>
      <c r="N41" s="10"/>
      <c r="O41" s="18"/>
      <c r="P41" s="10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C42" s="5"/>
      <c r="I42" s="6" t="s">
        <v>1</v>
      </c>
      <c r="J42" s="20">
        <f t="array" ref="J42:N46">J12:N16</f>
        <v>1.281387538</v>
      </c>
      <c r="K42" s="8">
        <v>0.7727707633570199</v>
      </c>
      <c r="L42" s="8">
        <v>1.4045051709836391</v>
      </c>
      <c r="M42" s="8">
        <v>-0.37451789563934873</v>
      </c>
      <c r="N42" s="9">
        <v>0.3345687974124911</v>
      </c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I43" s="6" t="s">
        <v>2</v>
      </c>
      <c r="J43" s="11">
        <v>-0.49838695956324863</v>
      </c>
      <c r="K43" s="10">
        <v>-0.002812685085030789</v>
      </c>
      <c r="L43" s="10">
        <v>0.4268287669775717</v>
      </c>
      <c r="M43" s="10">
        <v>-0.16487719908617207</v>
      </c>
      <c r="N43" s="12">
        <v>-2.072407618559388</v>
      </c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I44" s="1"/>
      <c r="J44" s="11">
        <v>0.7410793146158806</v>
      </c>
      <c r="K44" s="10">
        <v>0.23659726372662718</v>
      </c>
      <c r="L44" s="10">
        <v>0.4394275980216046</v>
      </c>
      <c r="M44" s="10">
        <v>0.9628273434122897</v>
      </c>
      <c r="N44" s="12">
        <v>0.4601787007338566</v>
      </c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I45" s="1"/>
      <c r="J45" s="11">
        <v>1.8991564417143434</v>
      </c>
      <c r="K45" s="10">
        <v>0.7037587679130394</v>
      </c>
      <c r="L45" s="10">
        <v>-0.2196093992482537</v>
      </c>
      <c r="M45" s="10">
        <v>-0.9480810505105399</v>
      </c>
      <c r="N45" s="12">
        <v>1.175062763272059</v>
      </c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I46" s="1"/>
      <c r="J46" s="13">
        <v>-0.654161122344408</v>
      </c>
      <c r="K46" s="14">
        <v>0.6117056252611617</v>
      </c>
      <c r="L46" s="14">
        <v>0.6757049002716943</v>
      </c>
      <c r="M46" s="14">
        <v>0.61660879928997</v>
      </c>
      <c r="N46" s="15">
        <v>0.5460761694101726</v>
      </c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I47" s="2"/>
      <c r="J47" s="1"/>
      <c r="K47" s="8"/>
      <c r="L47" s="16" t="s">
        <v>3</v>
      </c>
      <c r="M47" s="17"/>
      <c r="N47" s="8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17" t="s">
        <v>3</v>
      </c>
      <c r="M48" s="17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B49" s="6" t="s">
        <v>14</v>
      </c>
      <c r="C49" s="7">
        <f t="shared" ref="C49:G49" si="16">NORMINV(rand(),0, 1)</f>
        <v>1.017720724</v>
      </c>
      <c r="D49" s="8">
        <f t="shared" si="16"/>
        <v>-1.525405631</v>
      </c>
      <c r="E49" s="8">
        <f t="shared" si="16"/>
        <v>0.2761727322</v>
      </c>
      <c r="F49" s="8">
        <f t="shared" si="16"/>
        <v>-0.6755470824</v>
      </c>
      <c r="G49" s="8">
        <f t="shared" si="16"/>
        <v>0.3643704587</v>
      </c>
      <c r="H49" s="11"/>
      <c r="I49" s="6" t="s">
        <v>15</v>
      </c>
      <c r="J49" s="7">
        <f t="array" ref="J49:N53">MMULT(C49:G53,$J$12:$N$16)</f>
        <v>0.7476762441</v>
      </c>
      <c r="K49" s="8">
        <v>0.6035622957755831</v>
      </c>
      <c r="L49" s="8">
        <v>1.2942283279741125</v>
      </c>
      <c r="M49" s="8">
        <v>1.0014040607687742</v>
      </c>
      <c r="N49" s="9">
        <v>3.034012461698778</v>
      </c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B50" s="1"/>
      <c r="C50" s="11">
        <f t="shared" ref="C50:G50" si="17">NORMINV(rand(),0, 1)</f>
        <v>-0.6015626409</v>
      </c>
      <c r="D50" s="10">
        <f t="shared" si="17"/>
        <v>-1.702779728</v>
      </c>
      <c r="E50" s="10">
        <f t="shared" si="17"/>
        <v>1.805634033</v>
      </c>
      <c r="F50" s="10">
        <f t="shared" si="17"/>
        <v>-1.346879853</v>
      </c>
      <c r="G50" s="10">
        <f t="shared" si="17"/>
        <v>0.05596939551</v>
      </c>
      <c r="H50" s="11"/>
      <c r="I50" s="6" t="s">
        <v>16</v>
      </c>
      <c r="J50" s="11">
        <v>-1.1786221795046035</v>
      </c>
      <c r="K50" s="10">
        <v>-0.946514278252443</v>
      </c>
      <c r="L50" s="10">
        <v>-0.44464151525281614</v>
      </c>
      <c r="M50" s="10">
        <v>3.556021833241943</v>
      </c>
      <c r="N50" s="12">
        <v>2.606399105795539</v>
      </c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B51" s="1"/>
      <c r="C51" s="11">
        <f t="shared" ref="C51:G51" si="18">NORMINV(rand(),0, 1)</f>
        <v>-0.08900160483</v>
      </c>
      <c r="D51" s="10">
        <f t="shared" si="18"/>
        <v>0.6460292124</v>
      </c>
      <c r="E51" s="10">
        <f t="shared" si="18"/>
        <v>0.7394087039</v>
      </c>
      <c r="F51" s="10">
        <f t="shared" si="18"/>
        <v>0.74842343</v>
      </c>
      <c r="G51" s="10">
        <f t="shared" si="18"/>
        <v>0.1897555746</v>
      </c>
      <c r="H51" s="19" t="s">
        <v>7</v>
      </c>
      <c r="I51" s="17" t="s">
        <v>7</v>
      </c>
      <c r="J51" s="11">
        <v>1.4091848718801154</v>
      </c>
      <c r="K51" s="10">
        <v>0.747131264694752</v>
      </c>
      <c r="L51" s="10">
        <v>0.4395151804228149</v>
      </c>
      <c r="M51" s="10">
        <v>0.0461790099632787</v>
      </c>
      <c r="N51" s="12">
        <v>-0.045287383740249765</v>
      </c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B52" s="1"/>
      <c r="C52" s="11">
        <f t="shared" ref="C52:G52" si="19">NORMINV(rand(),0, 1)</f>
        <v>0.8071614614</v>
      </c>
      <c r="D52" s="10">
        <f t="shared" si="19"/>
        <v>1.653589123</v>
      </c>
      <c r="E52" s="10">
        <f t="shared" si="19"/>
        <v>-2.311438805</v>
      </c>
      <c r="F52" s="10">
        <f t="shared" si="19"/>
        <v>0.664980626</v>
      </c>
      <c r="G52" s="10">
        <f t="shared" si="19"/>
        <v>-1.315454848</v>
      </c>
      <c r="H52" s="11"/>
      <c r="I52" s="2"/>
      <c r="J52" s="11">
        <v>0.6206215556272835</v>
      </c>
      <c r="K52" s="10">
        <v>-0.2644655277127317</v>
      </c>
      <c r="L52" s="10">
        <v>-0.21114343207529163</v>
      </c>
      <c r="M52" s="10">
        <v>-4.2420286043382305</v>
      </c>
      <c r="N52" s="12">
        <v>-4.15747913630841</v>
      </c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B53" s="1"/>
      <c r="C53" s="13">
        <f t="shared" ref="C53:G53" si="20">NORMINV(rand(),0, 1)</f>
        <v>0.2956962724</v>
      </c>
      <c r="D53" s="14">
        <f t="shared" si="20"/>
        <v>-0.9542595265</v>
      </c>
      <c r="E53" s="14">
        <f t="shared" si="20"/>
        <v>-1.343932385</v>
      </c>
      <c r="F53" s="14">
        <f t="shared" si="20"/>
        <v>0.6216271467</v>
      </c>
      <c r="G53" s="14">
        <f t="shared" si="20"/>
        <v>0.120803801</v>
      </c>
      <c r="H53" s="11"/>
      <c r="I53" s="2"/>
      <c r="J53" s="13">
        <v>0.9600735814911102</v>
      </c>
      <c r="K53" s="14">
        <v>0.42459066023489384</v>
      </c>
      <c r="L53" s="14">
        <v>-0.6374468971924907</v>
      </c>
      <c r="M53" s="14">
        <v>-1.7622469871737436</v>
      </c>
      <c r="N53" s="15">
        <v>2.254515389822912</v>
      </c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4" t="s">
        <v>17</v>
      </c>
      <c r="AA55" s="4"/>
      <c r="AB55" s="4"/>
      <c r="AC55" s="4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I63" s="6" t="s">
        <v>4</v>
      </c>
      <c r="J63" s="7">
        <f t="array" ref="J63:N67">$C$19:$G$23</f>
        <v>-0.4905824713</v>
      </c>
      <c r="K63" s="8">
        <v>0.4343007717713063</v>
      </c>
      <c r="L63" s="8">
        <v>-0.6370828635674317</v>
      </c>
      <c r="M63" s="8">
        <v>-0.5452866282478033</v>
      </c>
      <c r="N63" s="9">
        <v>-0.44788044618692663</v>
      </c>
      <c r="O63" s="3"/>
      <c r="P63" s="6" t="s">
        <v>10</v>
      </c>
      <c r="Q63" s="7">
        <f t="array" ref="Q63:U67">$C$34:$G$38</f>
        <v>0.1099653612</v>
      </c>
      <c r="R63" s="8">
        <v>-1.011404355681003</v>
      </c>
      <c r="S63" s="8">
        <v>-0.8631611777837022</v>
      </c>
      <c r="T63" s="8">
        <v>-0.4494392792184767</v>
      </c>
      <c r="U63" s="9">
        <v>0.18656435622950301</v>
      </c>
      <c r="V63" s="2"/>
      <c r="W63" s="6" t="s">
        <v>14</v>
      </c>
      <c r="X63" s="7">
        <f t="array" ref="X63:AB67">$C$49:$G$53</f>
        <v>1.017720724</v>
      </c>
      <c r="Y63" s="8">
        <v>-1.5254056309706951</v>
      </c>
      <c r="Z63" s="8">
        <v>0.2761727321647903</v>
      </c>
      <c r="AA63" s="8">
        <v>-0.6755470823571597</v>
      </c>
      <c r="AB63" s="9">
        <v>0.36437045873036217</v>
      </c>
      <c r="AC63" s="2"/>
    </row>
    <row r="64">
      <c r="I64" s="1"/>
      <c r="J64" s="11">
        <v>-0.5769162733831503</v>
      </c>
      <c r="K64" s="10">
        <v>0.3862587448280457</v>
      </c>
      <c r="L64" s="10">
        <v>0.025357331291148463</v>
      </c>
      <c r="M64" s="10">
        <v>-0.743196068433992</v>
      </c>
      <c r="N64" s="12">
        <v>0.0819681175931389</v>
      </c>
      <c r="O64" s="3"/>
      <c r="P64" s="2"/>
      <c r="Q64" s="11">
        <v>-1.0548422575398255</v>
      </c>
      <c r="R64" s="10">
        <v>1.2145560931874688</v>
      </c>
      <c r="S64" s="10">
        <v>1.3445966915336198</v>
      </c>
      <c r="T64" s="10">
        <v>-0.47455764552829244</v>
      </c>
      <c r="U64" s="12">
        <v>1.1492687664530012</v>
      </c>
      <c r="V64" s="2"/>
      <c r="W64" s="2"/>
      <c r="X64" s="11">
        <v>-0.6015626409137805</v>
      </c>
      <c r="Y64" s="10">
        <v>-1.702779727679448</v>
      </c>
      <c r="Z64" s="10">
        <v>1.805634033002903</v>
      </c>
      <c r="AA64" s="10">
        <v>-1.346879852821713</v>
      </c>
      <c r="AB64" s="12">
        <v>0.05596939551496417</v>
      </c>
      <c r="AC64" s="2"/>
    </row>
    <row r="65">
      <c r="I65" s="1"/>
      <c r="J65" s="11">
        <v>0.6305218991632041</v>
      </c>
      <c r="K65" s="10">
        <v>-1.6696517365878805</v>
      </c>
      <c r="L65" s="10">
        <v>-2.034821588375396</v>
      </c>
      <c r="M65" s="10">
        <v>0.5958095276373468</v>
      </c>
      <c r="N65" s="12">
        <v>0.27988761538409</v>
      </c>
      <c r="O65" s="3"/>
      <c r="P65" s="2"/>
      <c r="Q65" s="11">
        <v>0.14743072309990485</v>
      </c>
      <c r="R65" s="10">
        <v>0.3966264910264287</v>
      </c>
      <c r="S65" s="10">
        <v>0.5225253622966438</v>
      </c>
      <c r="T65" s="10">
        <v>0.23173706619856094</v>
      </c>
      <c r="U65" s="12">
        <v>0.6491296158189541</v>
      </c>
      <c r="V65" s="2"/>
      <c r="W65" s="2"/>
      <c r="X65" s="11">
        <v>-0.08900160482753756</v>
      </c>
      <c r="Y65" s="10">
        <v>0.6460292124075401</v>
      </c>
      <c r="Z65" s="10">
        <v>0.7394087038578745</v>
      </c>
      <c r="AA65" s="10">
        <v>0.7484234300341129</v>
      </c>
      <c r="AB65" s="12">
        <v>0.18975557462222262</v>
      </c>
      <c r="AC65" s="2"/>
    </row>
    <row r="66">
      <c r="I66" s="1"/>
      <c r="J66" s="11">
        <v>0.5304950596124317</v>
      </c>
      <c r="K66" s="10">
        <v>0.3654068566937146</v>
      </c>
      <c r="L66" s="10">
        <v>-0.7032462594139214</v>
      </c>
      <c r="M66" s="10">
        <v>0.7603596264526331</v>
      </c>
      <c r="N66" s="12">
        <v>1.278867209603269</v>
      </c>
      <c r="O66" s="3"/>
      <c r="P66" s="2"/>
      <c r="Q66" s="11">
        <v>-0.8693821413920705</v>
      </c>
      <c r="R66" s="10">
        <v>-0.2309889975406885</v>
      </c>
      <c r="S66" s="10">
        <v>0.05616340994834764</v>
      </c>
      <c r="T66" s="10">
        <v>-1.5832074622585581</v>
      </c>
      <c r="U66" s="12">
        <v>-1.5254061037614317</v>
      </c>
      <c r="V66" s="2"/>
      <c r="W66" s="2"/>
      <c r="X66" s="11">
        <v>0.8071614613635643</v>
      </c>
      <c r="Y66" s="10">
        <v>1.653589123239663</v>
      </c>
      <c r="Z66" s="10">
        <v>-2.3114388053379797</v>
      </c>
      <c r="AA66" s="10">
        <v>0.6649806260395618</v>
      </c>
      <c r="AB66" s="12">
        <v>-1.3154548480879227</v>
      </c>
      <c r="AC66" s="2"/>
    </row>
    <row r="67">
      <c r="I67" s="1"/>
      <c r="J67" s="13">
        <v>-0.5451481943734892</v>
      </c>
      <c r="K67" s="14">
        <v>-0.9993612130735938</v>
      </c>
      <c r="L67" s="14">
        <v>0.3424155974982494</v>
      </c>
      <c r="M67" s="14">
        <v>-0.42166317909648277</v>
      </c>
      <c r="N67" s="15">
        <v>-1.3079722780942233</v>
      </c>
      <c r="O67" s="3"/>
      <c r="P67" s="2"/>
      <c r="Q67" s="13">
        <v>1.0963536677664503</v>
      </c>
      <c r="R67" s="14">
        <v>1.2818494436381709</v>
      </c>
      <c r="S67" s="14">
        <v>1.0930203067384632</v>
      </c>
      <c r="T67" s="14">
        <v>-0.2768926527717556</v>
      </c>
      <c r="U67" s="15">
        <v>0.11324799355929627</v>
      </c>
      <c r="V67" s="2"/>
      <c r="W67" s="2"/>
      <c r="X67" s="13">
        <v>0.29569627236550067</v>
      </c>
      <c r="Y67" s="14">
        <v>-0.9542595264708672</v>
      </c>
      <c r="Z67" s="14">
        <v>-1.3439323849220393</v>
      </c>
      <c r="AA67" s="14">
        <v>0.6216271466626656</v>
      </c>
      <c r="AB67" s="15">
        <v>0.12080380104043854</v>
      </c>
      <c r="AC67" s="2"/>
    </row>
    <row r="68">
      <c r="I68" s="1"/>
      <c r="J68" s="2"/>
      <c r="K68" s="2"/>
      <c r="L68" s="21" t="s">
        <v>3</v>
      </c>
      <c r="M68" s="2"/>
      <c r="N68" s="2"/>
      <c r="O68" s="3"/>
      <c r="P68" s="2"/>
      <c r="Q68" s="2"/>
      <c r="R68" s="2"/>
      <c r="S68" s="21" t="s">
        <v>3</v>
      </c>
      <c r="T68" s="2"/>
      <c r="U68" s="2"/>
      <c r="V68" s="2"/>
      <c r="W68" s="2"/>
      <c r="X68" s="2"/>
      <c r="Y68" s="2"/>
      <c r="Z68" s="21" t="s">
        <v>3</v>
      </c>
      <c r="AA68" s="2"/>
      <c r="AB68" s="2"/>
      <c r="AC68" s="2"/>
    </row>
    <row r="69">
      <c r="I69" s="1"/>
      <c r="J69" s="2"/>
      <c r="K69" s="2"/>
      <c r="L69" s="21" t="s">
        <v>3</v>
      </c>
      <c r="M69" s="2"/>
      <c r="N69" s="2"/>
      <c r="O69" s="3"/>
      <c r="P69" s="2"/>
      <c r="Q69" s="2"/>
      <c r="R69" s="2"/>
      <c r="S69" s="21" t="s">
        <v>3</v>
      </c>
      <c r="T69" s="2"/>
      <c r="U69" s="2"/>
      <c r="V69" s="2"/>
      <c r="W69" s="2"/>
      <c r="X69" s="2"/>
      <c r="Y69" s="2"/>
      <c r="Z69" s="21" t="s">
        <v>3</v>
      </c>
      <c r="AA69" s="2"/>
      <c r="AB69" s="2"/>
      <c r="AC69" s="2"/>
    </row>
    <row r="70">
      <c r="B70" s="6" t="s">
        <v>1</v>
      </c>
      <c r="C70" s="7">
        <f t="array" ref="C70:G74">$J$12:$N$16</f>
        <v>1.281387538</v>
      </c>
      <c r="D70" s="8">
        <v>0.7727707633570199</v>
      </c>
      <c r="E70" s="8">
        <v>1.4045051709836391</v>
      </c>
      <c r="F70" s="8">
        <v>-0.37451789563934873</v>
      </c>
      <c r="G70" s="9">
        <v>0.3345687974124911</v>
      </c>
      <c r="I70" s="6" t="s">
        <v>5</v>
      </c>
      <c r="J70" s="7">
        <f t="array" ref="J70:N74">MMULT(J63:N67,C70:G74)</f>
        <v>-2.059803675</v>
      </c>
      <c r="K70" s="8">
        <v>-1.1887826384576092</v>
      </c>
      <c r="L70" s="8">
        <v>-0.966490290675394</v>
      </c>
      <c r="M70" s="8">
        <v>-0.2604662858946342</v>
      </c>
      <c r="N70" s="9">
        <v>-2.2426766306070536</v>
      </c>
      <c r="O70" s="3"/>
      <c r="P70" s="6" t="s">
        <v>11</v>
      </c>
      <c r="Q70" s="7">
        <f t="array" ref="Q70:U74">MMULT(Q63:U67,C70:G74)</f>
        <v>-0.9702905599</v>
      </c>
      <c r="R70" s="8">
        <v>-0.31857316197993646</v>
      </c>
      <c r="S70" s="8">
        <v>-0.4317828588640095</v>
      </c>
      <c r="T70" s="8">
        <v>-0.16435957443218363</v>
      </c>
      <c r="U70" s="9">
        <v>1.3093836691276548</v>
      </c>
      <c r="V70" s="2"/>
      <c r="W70" s="6" t="s">
        <v>15</v>
      </c>
      <c r="X70" s="7">
        <f t="array" ref="X70:AB74">MMULT(X63:AB67,C70:G74)</f>
        <v>0.7476762441</v>
      </c>
      <c r="Y70" s="8">
        <v>0.6035622957755831</v>
      </c>
      <c r="Z70" s="8">
        <v>1.2942283279741125</v>
      </c>
      <c r="AA70" s="8">
        <v>1.0014040607687742</v>
      </c>
      <c r="AB70" s="9">
        <v>3.034012461698778</v>
      </c>
      <c r="AC70" s="10"/>
    </row>
    <row r="71">
      <c r="B71" s="6" t="s">
        <v>2</v>
      </c>
      <c r="C71" s="11">
        <v>-0.49838695956324863</v>
      </c>
      <c r="D71" s="10">
        <v>-0.002812685085030789</v>
      </c>
      <c r="E71" s="10">
        <v>0.4268287669775717</v>
      </c>
      <c r="F71" s="10">
        <v>-0.16487719908617207</v>
      </c>
      <c r="G71" s="12">
        <v>-2.072407618559388</v>
      </c>
      <c r="I71" s="1"/>
      <c r="J71" s="11">
        <v>-2.378033807295456</v>
      </c>
      <c r="K71" s="10">
        <v>-0.9138013688021591</v>
      </c>
      <c r="L71" s="10">
        <v>-0.4156737333842953</v>
      </c>
      <c r="M71" s="10">
        <v>0.9319473124862125</v>
      </c>
      <c r="N71" s="12">
        <v>-1.810376035700639</v>
      </c>
      <c r="O71" s="3"/>
      <c r="P71" s="1"/>
      <c r="Q71" s="11">
        <v>-2.6135940024111455</v>
      </c>
      <c r="R71" s="10">
        <v>-0.13139945690025134</v>
      </c>
      <c r="S71" s="10">
        <v>0.5085128255266107</v>
      </c>
      <c r="T71" s="10">
        <v>2.6479875014620733</v>
      </c>
      <c r="U71" s="12">
        <v>-2.181264580412378</v>
      </c>
      <c r="V71" s="2"/>
      <c r="W71" s="1"/>
      <c r="X71" s="11">
        <v>-1.1786221795046035</v>
      </c>
      <c r="Y71" s="10">
        <v>-0.946514278252443</v>
      </c>
      <c r="Z71" s="10">
        <v>-0.44464151525281614</v>
      </c>
      <c r="AA71" s="10">
        <v>3.556021833241943</v>
      </c>
      <c r="AB71" s="12">
        <v>2.606399105795539</v>
      </c>
      <c r="AC71" s="10"/>
    </row>
    <row r="72">
      <c r="B72" s="1"/>
      <c r="C72" s="11">
        <v>0.7410793146158806</v>
      </c>
      <c r="D72" s="10">
        <v>0.23659726372662718</v>
      </c>
      <c r="E72" s="10">
        <v>0.4394275980216046</v>
      </c>
      <c r="F72" s="10">
        <v>0.9628273434122897</v>
      </c>
      <c r="G72" s="12">
        <v>0.4601787007338566</v>
      </c>
      <c r="H72" s="21"/>
      <c r="I72" s="21"/>
      <c r="J72" s="11">
        <v>1.0805552740285753</v>
      </c>
      <c r="K72" s="10">
        <v>0.6010268817371652</v>
      </c>
      <c r="L72" s="10">
        <v>-0.6629648263893625</v>
      </c>
      <c r="M72" s="10">
        <v>-2.3123306537131016</v>
      </c>
      <c r="N72" s="12">
        <v>3.5877239248307693</v>
      </c>
      <c r="O72" s="3"/>
      <c r="P72" s="1"/>
      <c r="Q72" s="11">
        <v>0.3939447416719561</v>
      </c>
      <c r="R72" s="10">
        <v>0.7966058676714558</v>
      </c>
      <c r="S72" s="10">
        <v>0.9936992983594386</v>
      </c>
      <c r="T72" s="10">
        <v>0.5630451091837663</v>
      </c>
      <c r="U72" s="12">
        <v>0.09458881174265121</v>
      </c>
      <c r="V72" s="2"/>
      <c r="W72" s="1"/>
      <c r="X72" s="11">
        <v>1.4091848718801154</v>
      </c>
      <c r="Y72" s="10">
        <v>0.747131264694752</v>
      </c>
      <c r="Z72" s="10">
        <v>0.4395151804228149</v>
      </c>
      <c r="AA72" s="10">
        <v>0.0461790099632787</v>
      </c>
      <c r="AB72" s="12">
        <v>-0.045287383740249765</v>
      </c>
      <c r="AC72" s="10"/>
    </row>
    <row r="73">
      <c r="B73" s="1"/>
      <c r="C73" s="11">
        <v>1.8991564417143434</v>
      </c>
      <c r="D73" s="10">
        <v>0.7037587679130394</v>
      </c>
      <c r="E73" s="10">
        <v>-0.2196093992482537</v>
      </c>
      <c r="F73" s="10">
        <v>-0.9480810505105399</v>
      </c>
      <c r="G73" s="12">
        <v>1.175062763272059</v>
      </c>
      <c r="I73" s="1"/>
      <c r="J73" s="11">
        <v>0.5839511633110179</v>
      </c>
      <c r="K73" s="10">
        <v>1.5599371770142052</v>
      </c>
      <c r="L73" s="10">
        <v>1.2891781174505526</v>
      </c>
      <c r="M73" s="10">
        <v>-0.8683536589960245</v>
      </c>
      <c r="N73" s="12">
        <v>0.6884253812332344</v>
      </c>
      <c r="O73" s="3"/>
      <c r="P73" s="1"/>
      <c r="Q73" s="11">
        <v>-2.966169277474871</v>
      </c>
      <c r="R73" s="10">
        <v>-2.705190920097378</v>
      </c>
      <c r="S73" s="10">
        <v>-1.9780018493653624</v>
      </c>
      <c r="T73" s="10">
        <v>0.9781898237566552</v>
      </c>
      <c r="U73" s="12">
        <v>-2.4796756315833335</v>
      </c>
      <c r="V73" s="2"/>
      <c r="W73" s="1"/>
      <c r="X73" s="11">
        <v>0.6206215556272835</v>
      </c>
      <c r="Y73" s="10">
        <v>-0.2644655277127317</v>
      </c>
      <c r="Z73" s="10">
        <v>-0.21114343207529163</v>
      </c>
      <c r="AA73" s="10">
        <v>-4.2420286043382305</v>
      </c>
      <c r="AB73" s="12">
        <v>-4.15747913630841</v>
      </c>
      <c r="AC73" s="10"/>
    </row>
    <row r="74">
      <c r="B74" s="1"/>
      <c r="C74" s="13">
        <v>-0.654161122344408</v>
      </c>
      <c r="D74" s="14">
        <v>0.6117056252611617</v>
      </c>
      <c r="E74" s="14">
        <v>0.6757049002716943</v>
      </c>
      <c r="F74" s="14">
        <v>0.61660879928997</v>
      </c>
      <c r="G74" s="15">
        <v>0.5460761694101726</v>
      </c>
      <c r="I74" s="1"/>
      <c r="J74" s="13">
        <v>0.10809988102539725</v>
      </c>
      <c r="K74" s="14">
        <v>-1.4342922640958569</v>
      </c>
      <c r="L74" s="14">
        <v>-1.8329547890388942</v>
      </c>
      <c r="M74" s="14">
        <v>0.2918903862366159</v>
      </c>
      <c r="N74" s="15">
        <v>0.8365333889155054</v>
      </c>
      <c r="O74" s="3"/>
      <c r="P74" s="1"/>
      <c r="Q74" s="13">
        <v>0.9760667198289665</v>
      </c>
      <c r="R74" s="14">
        <v>0.9766390382606689</v>
      </c>
      <c r="S74" s="14">
        <v>2.70459835438816</v>
      </c>
      <c r="T74" s="14">
        <v>0.7627844102361706</v>
      </c>
      <c r="U74" s="15">
        <v>-2.0502483752272966</v>
      </c>
      <c r="V74" s="2"/>
      <c r="W74" s="1"/>
      <c r="X74" s="13">
        <v>0.9600735814911102</v>
      </c>
      <c r="Y74" s="14">
        <v>0.42459066023489384</v>
      </c>
      <c r="Z74" s="14">
        <v>-0.6374468971924907</v>
      </c>
      <c r="AA74" s="14">
        <v>-1.7622469871737436</v>
      </c>
      <c r="AB74" s="15">
        <v>2.254515389822912</v>
      </c>
      <c r="AC74" s="10"/>
    </row>
    <row r="75">
      <c r="O75" s="3"/>
    </row>
    <row r="76">
      <c r="O76" s="3"/>
    </row>
    <row r="77">
      <c r="O77" s="3"/>
    </row>
    <row r="78">
      <c r="O78" s="3"/>
    </row>
    <row r="79">
      <c r="O79" s="3"/>
    </row>
    <row r="80">
      <c r="O80" s="3"/>
    </row>
    <row r="81">
      <c r="A81" s="4" t="s">
        <v>18</v>
      </c>
      <c r="AA81" s="4"/>
      <c r="AB81" s="4"/>
      <c r="AC81" s="4"/>
    </row>
    <row r="82"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H83" s="2"/>
      <c r="I83" s="6" t="s">
        <v>11</v>
      </c>
      <c r="J83" s="7">
        <f t="array" ref="J83:N87">Q70:U74</f>
        <v>-0.9702905599</v>
      </c>
      <c r="K83" s="8">
        <v>-0.31857316197993646</v>
      </c>
      <c r="L83" s="8">
        <v>-0.4317828588640095</v>
      </c>
      <c r="M83" s="8">
        <v>-0.16435957443218363</v>
      </c>
      <c r="N83" s="9">
        <v>1.3093836691276548</v>
      </c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H84" s="2"/>
      <c r="I84" s="1"/>
      <c r="J84" s="11">
        <v>-2.6135940024111455</v>
      </c>
      <c r="K84" s="10">
        <v>-0.13139945690025134</v>
      </c>
      <c r="L84" s="10">
        <v>0.5085128255266107</v>
      </c>
      <c r="M84" s="10">
        <v>2.6479875014620733</v>
      </c>
      <c r="N84" s="12">
        <v>-2.181264580412378</v>
      </c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H85" s="2"/>
      <c r="I85" s="1"/>
      <c r="J85" s="11">
        <v>0.3939447416719561</v>
      </c>
      <c r="K85" s="10">
        <v>0.7966058676714558</v>
      </c>
      <c r="L85" s="10">
        <v>0.9936992983594386</v>
      </c>
      <c r="M85" s="10">
        <v>0.5630451091837663</v>
      </c>
      <c r="N85" s="12">
        <v>0.09458881174265121</v>
      </c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H86" s="2"/>
      <c r="I86" s="1"/>
      <c r="J86" s="11">
        <v>-2.966169277474871</v>
      </c>
      <c r="K86" s="10">
        <v>-2.705190920097378</v>
      </c>
      <c r="L86" s="10">
        <v>-1.9780018493653624</v>
      </c>
      <c r="M86" s="10">
        <v>0.9781898237566552</v>
      </c>
      <c r="N86" s="12">
        <v>-2.4796756315833335</v>
      </c>
      <c r="O86" s="3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H87" s="2"/>
      <c r="I87" s="1"/>
      <c r="J87" s="13">
        <v>0.9760667198289665</v>
      </c>
      <c r="K87" s="14">
        <v>0.9766390382606689</v>
      </c>
      <c r="L87" s="14">
        <v>2.70459835438816</v>
      </c>
      <c r="M87" s="14">
        <v>0.7627844102361706</v>
      </c>
      <c r="N87" s="15">
        <v>-2.0502483752272966</v>
      </c>
      <c r="O87" s="3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B88" s="1"/>
      <c r="C88" s="2"/>
      <c r="D88" s="2"/>
      <c r="E88" s="2"/>
      <c r="F88" s="2"/>
      <c r="G88" s="2"/>
      <c r="H88" s="2"/>
      <c r="I88" s="2"/>
      <c r="J88" s="2"/>
      <c r="K88" s="2"/>
      <c r="L88" s="21" t="s">
        <v>3</v>
      </c>
      <c r="M88" s="2"/>
      <c r="N88" s="2"/>
      <c r="O88" s="3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B89" s="1"/>
      <c r="C89" s="2"/>
      <c r="D89" s="2"/>
      <c r="E89" s="2"/>
      <c r="F89" s="2"/>
      <c r="G89" s="2"/>
      <c r="H89" s="2"/>
      <c r="I89" s="2"/>
      <c r="J89" s="2"/>
      <c r="K89" s="2"/>
      <c r="L89" s="21" t="s">
        <v>3</v>
      </c>
      <c r="M89" s="2"/>
      <c r="N89" s="2"/>
      <c r="O89" s="3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B90" s="1"/>
      <c r="C90" s="2"/>
      <c r="D90" s="2"/>
      <c r="E90" s="2"/>
      <c r="F90" s="2"/>
      <c r="G90" s="2"/>
      <c r="H90" s="2"/>
      <c r="I90" s="6" t="s">
        <v>19</v>
      </c>
      <c r="J90" s="7">
        <f t="array" ref="J90:N94">TRANSPOSE(J83:N87)</f>
        <v>-0.9702905599</v>
      </c>
      <c r="K90" s="8">
        <v>-2.6135940024111455</v>
      </c>
      <c r="L90" s="8">
        <v>0.3939447416719561</v>
      </c>
      <c r="M90" s="8">
        <v>-2.966169277474871</v>
      </c>
      <c r="N90" s="9">
        <v>0.9760667198289665</v>
      </c>
      <c r="O90" s="3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B91" s="1"/>
      <c r="C91" s="2"/>
      <c r="D91" s="2"/>
      <c r="E91" s="2"/>
      <c r="F91" s="2"/>
      <c r="G91" s="2"/>
      <c r="H91" s="2"/>
      <c r="I91" s="2"/>
      <c r="J91" s="11">
        <v>-0.31857316197993646</v>
      </c>
      <c r="K91" s="10">
        <v>-0.13139945690025134</v>
      </c>
      <c r="L91" s="10">
        <v>0.7966058676714558</v>
      </c>
      <c r="M91" s="10">
        <v>-2.705190920097378</v>
      </c>
      <c r="N91" s="12">
        <v>0.9766390382606689</v>
      </c>
      <c r="O91" s="3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B92" s="1"/>
      <c r="C92" s="2"/>
      <c r="D92" s="2"/>
      <c r="E92" s="2"/>
      <c r="F92" s="2"/>
      <c r="G92" s="2"/>
      <c r="H92" s="2"/>
      <c r="I92" s="2"/>
      <c r="J92" s="11">
        <v>-0.4317828588640095</v>
      </c>
      <c r="K92" s="10">
        <v>0.5085128255266107</v>
      </c>
      <c r="L92" s="10">
        <v>0.9936992983594386</v>
      </c>
      <c r="M92" s="10">
        <v>-1.9780018493653624</v>
      </c>
      <c r="N92" s="12">
        <v>2.70459835438816</v>
      </c>
      <c r="O92" s="3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B93" s="1"/>
      <c r="C93" s="2"/>
      <c r="D93" s="2"/>
      <c r="E93" s="2"/>
      <c r="F93" s="2"/>
      <c r="G93" s="2"/>
      <c r="H93" s="2"/>
      <c r="I93" s="2"/>
      <c r="J93" s="11">
        <v>-0.16435957443218363</v>
      </c>
      <c r="K93" s="10">
        <v>2.6479875014620733</v>
      </c>
      <c r="L93" s="10">
        <v>0.5630451091837663</v>
      </c>
      <c r="M93" s="10">
        <v>0.9781898237566552</v>
      </c>
      <c r="N93" s="12">
        <v>0.7627844102361706</v>
      </c>
      <c r="O93" s="3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B94" s="1"/>
      <c r="C94" s="2"/>
      <c r="D94" s="2"/>
      <c r="E94" s="2"/>
      <c r="F94" s="2"/>
      <c r="G94" s="2"/>
      <c r="H94" s="2"/>
      <c r="I94" s="2"/>
      <c r="J94" s="13">
        <v>1.3093836691276548</v>
      </c>
      <c r="K94" s="14">
        <v>-2.181264580412378</v>
      </c>
      <c r="L94" s="14">
        <v>0.09458881174265121</v>
      </c>
      <c r="M94" s="14">
        <v>-2.4796756315833335</v>
      </c>
      <c r="N94" s="15">
        <v>-2.0502483752272966</v>
      </c>
      <c r="O94" s="3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1" t="s">
        <v>3</v>
      </c>
      <c r="M95" s="2"/>
      <c r="N95" s="2"/>
      <c r="O95" s="3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1" t="s">
        <v>3</v>
      </c>
      <c r="M96" s="2"/>
      <c r="N96" s="2"/>
      <c r="O96" s="3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B97" s="6" t="s">
        <v>5</v>
      </c>
      <c r="C97" s="7">
        <f t="array" ref="C97:G101">J70:N74</f>
        <v>-2.059803675</v>
      </c>
      <c r="D97" s="8">
        <v>-1.1887826384576092</v>
      </c>
      <c r="E97" s="8">
        <v>-0.966490290675394</v>
      </c>
      <c r="F97" s="8">
        <v>-0.2604662858946342</v>
      </c>
      <c r="G97" s="9">
        <v>-2.2426766306070536</v>
      </c>
      <c r="H97" s="2"/>
      <c r="I97" s="6" t="s">
        <v>20</v>
      </c>
      <c r="J97" s="7">
        <f t="array" ref="J97:N101">MMULT(J90:N94,C97:G101)</f>
        <v>7.012916722</v>
      </c>
      <c r="K97" s="8">
        <v>-2.248460946341624</v>
      </c>
      <c r="L97" s="8">
        <v>-3.849999419188478</v>
      </c>
      <c r="M97" s="8">
        <v>-0.2333459930041356</v>
      </c>
      <c r="N97" s="9">
        <v>7.095527072605941</v>
      </c>
      <c r="O97" s="3"/>
      <c r="P97" s="2"/>
      <c r="Q97" s="2"/>
      <c r="W97" s="2"/>
      <c r="X97" s="2"/>
      <c r="Y97" s="2"/>
      <c r="Z97" s="2"/>
      <c r="AA97" s="2"/>
      <c r="AB97" s="2"/>
      <c r="AC97" s="2"/>
    </row>
    <row r="98">
      <c r="B98" s="1"/>
      <c r="C98" s="11">
        <v>-2.378033807295456</v>
      </c>
      <c r="D98" s="10">
        <v>-0.9138013688021591</v>
      </c>
      <c r="E98" s="10">
        <v>-0.4156737333842953</v>
      </c>
      <c r="F98" s="10">
        <v>0.9319473124862125</v>
      </c>
      <c r="G98" s="12">
        <v>-1.810376035700639</v>
      </c>
      <c r="H98" s="2"/>
      <c r="I98" s="2"/>
      <c r="J98" s="11">
        <v>0.35532237133932953</v>
      </c>
      <c r="K98" s="10">
        <v>-4.6431449163367535</v>
      </c>
      <c r="L98" s="10">
        <v>-5.443212640081488</v>
      </c>
      <c r="M98" s="10">
        <v>0.7526380106629003</v>
      </c>
      <c r="N98" s="12">
        <v>2.7650100174394048</v>
      </c>
      <c r="O98" s="3"/>
      <c r="P98" s="2"/>
      <c r="Q98" s="2"/>
      <c r="W98" s="2"/>
      <c r="X98" s="2"/>
      <c r="Y98" s="2"/>
      <c r="Z98" s="2"/>
      <c r="AA98" s="2"/>
      <c r="AB98" s="2"/>
      <c r="AC98" s="2"/>
    </row>
    <row r="99">
      <c r="B99" s="1"/>
      <c r="C99" s="11">
        <v>1.0805552740285753</v>
      </c>
      <c r="D99" s="10">
        <v>0.6010268817371652</v>
      </c>
      <c r="E99" s="10">
        <v>-0.6629648263893625</v>
      </c>
      <c r="F99" s="10">
        <v>-2.3123306537131016</v>
      </c>
      <c r="G99" s="12">
        <v>3.5877239248307693</v>
      </c>
      <c r="H99" s="19" t="s">
        <v>7</v>
      </c>
      <c r="I99" s="17" t="s">
        <v>7</v>
      </c>
      <c r="J99" s="11">
        <v>-0.10881547396857394</v>
      </c>
      <c r="K99" s="10">
        <v>-6.318886877354364</v>
      </c>
      <c r="L99" s="10">
        <v>-7.96025237328945</v>
      </c>
      <c r="M99" s="10">
        <v>0.7956620921804308</v>
      </c>
      <c r="N99" s="12">
        <v>4.513648790525163</v>
      </c>
      <c r="O99" s="3"/>
      <c r="P99" s="2"/>
      <c r="Q99" s="2"/>
      <c r="W99" s="2"/>
      <c r="X99" s="2"/>
      <c r="Y99" s="2"/>
      <c r="Z99" s="2"/>
      <c r="AA99" s="2"/>
      <c r="AB99" s="2"/>
      <c r="AC99" s="2"/>
    </row>
    <row r="100">
      <c r="B100" s="1"/>
      <c r="C100" s="11">
        <v>0.5839511633110179</v>
      </c>
      <c r="D100" s="10">
        <v>1.5599371770142052</v>
      </c>
      <c r="E100" s="10">
        <v>1.2891781174505526</v>
      </c>
      <c r="F100" s="10">
        <v>-0.8683536589960245</v>
      </c>
      <c r="G100" s="12">
        <v>0.6884253812332344</v>
      </c>
      <c r="H100" s="2"/>
      <c r="I100" s="2"/>
      <c r="J100" s="11">
        <v>-4.696381992543209</v>
      </c>
      <c r="K100" s="10">
        <v>-1.4540826551273904</v>
      </c>
      <c r="L100" s="10">
        <v>-1.4522144431255473</v>
      </c>
      <c r="M100" s="10">
        <v>0.581883221466708</v>
      </c>
      <c r="N100" s="12">
        <v>-1.0936919998636934</v>
      </c>
      <c r="O100" s="3"/>
      <c r="P100" s="2"/>
      <c r="Q100" s="2"/>
      <c r="W100" s="2"/>
      <c r="X100" s="2"/>
      <c r="Y100" s="2"/>
      <c r="Z100" s="2"/>
      <c r="AA100" s="2"/>
      <c r="AB100" s="2"/>
      <c r="AC100" s="2"/>
    </row>
    <row r="101">
      <c r="B101" s="1"/>
      <c r="C101" s="13">
        <v>0.10809988102539725</v>
      </c>
      <c r="D101" s="14">
        <v>-1.4342922640958569</v>
      </c>
      <c r="E101" s="14">
        <v>-1.8329547890388942</v>
      </c>
      <c r="F101" s="14">
        <v>0.2918903862366159</v>
      </c>
      <c r="G101" s="15">
        <v>0.8365333889155054</v>
      </c>
      <c r="H101" s="2"/>
      <c r="I101" s="2"/>
      <c r="J101" s="13">
        <v>0.9226149852301946</v>
      </c>
      <c r="K101" s="14">
        <v>-0.4339624156488817</v>
      </c>
      <c r="L101" s="14">
        <v>0.13974774898227116</v>
      </c>
      <c r="M101" s="14">
        <v>-1.0378069558537046</v>
      </c>
      <c r="N101" s="15">
        <v>-2.070429351894425</v>
      </c>
      <c r="O101" s="3"/>
      <c r="P101" s="2"/>
      <c r="Q101" s="2"/>
      <c r="W101" s="2"/>
      <c r="X101" s="2"/>
      <c r="Y101" s="2"/>
      <c r="Z101" s="2"/>
      <c r="AA101" s="2"/>
      <c r="AB101" s="2"/>
      <c r="AC101" s="2"/>
    </row>
    <row r="102"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1" t="s">
        <v>3</v>
      </c>
      <c r="M102" s="2"/>
      <c r="N102" s="2"/>
      <c r="O102" s="3"/>
      <c r="P102" s="2"/>
      <c r="Q102" s="2"/>
      <c r="W102" s="2"/>
      <c r="X102" s="2"/>
      <c r="Y102" s="2"/>
      <c r="Z102" s="2"/>
      <c r="AA102" s="2"/>
      <c r="AB102" s="2"/>
      <c r="AC102" s="2"/>
    </row>
    <row r="103"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1" t="s">
        <v>3</v>
      </c>
      <c r="M103" s="2"/>
      <c r="N103" s="2"/>
      <c r="O103" s="3"/>
      <c r="P103" s="2"/>
      <c r="Q103" s="2"/>
      <c r="W103" s="2"/>
      <c r="X103" s="2"/>
      <c r="Y103" s="2"/>
      <c r="Z103" s="2"/>
      <c r="AA103" s="2"/>
      <c r="AB103" s="2"/>
      <c r="AC103" s="2"/>
    </row>
    <row r="104">
      <c r="B104" s="1"/>
      <c r="C104" s="2"/>
      <c r="D104" s="6" t="s">
        <v>21</v>
      </c>
      <c r="E104" s="25">
        <f>power(5, 0.5)</f>
        <v>2.236067977</v>
      </c>
      <c r="F104" s="2"/>
      <c r="G104" s="2"/>
      <c r="H104" s="2"/>
      <c r="I104" s="6" t="s">
        <v>22</v>
      </c>
      <c r="J104" s="7">
        <f t="shared" ref="J104:N104" si="21">J97/$G$107</f>
        <v>3.136271702</v>
      </c>
      <c r="K104" s="8">
        <f t="shared" si="21"/>
        <v>-1.005542304</v>
      </c>
      <c r="L104" s="8">
        <f t="shared" si="21"/>
        <v>-1.721772083</v>
      </c>
      <c r="M104" s="8">
        <f t="shared" si="21"/>
        <v>-0.1043555005</v>
      </c>
      <c r="N104" s="9">
        <f t="shared" si="21"/>
        <v>3.173216174</v>
      </c>
      <c r="O104" s="3"/>
      <c r="P104" s="31" t="str">
        <f>IFERROR(__xludf.DUMMYFUNCTION("SPARKLINE((J104-MIN($J104:$N104))/SUMPRODUCT($J104:$N104-MIN($J104:$N104)), {""charttype"",""bar""; ""max"",1; ""color1"",""#4285F4""})"),"")</f>
        <v/>
      </c>
      <c r="Q104" s="31" t="str">
        <f>IFERROR(__xludf.DUMMYFUNCTION("SPARKLINE((K104-MIN($J104:$N104))/SUMPRODUCT($J104:$N104-MIN($J104:$N104)), {""charttype"",""bar""; ""max"",1; ""color1"",""#4285F4""})"),"")</f>
        <v/>
      </c>
      <c r="R104" s="31" t="str">
        <f>IFERROR(__xludf.DUMMYFUNCTION("SPARKLINE((L104-MIN($J104:$N104))/SUMPRODUCT($J104:$N104-MIN($J104:$N104)), {""charttype"",""bar""; ""max"",1; ""color1"",""#4285F4""})"),"")</f>
        <v/>
      </c>
      <c r="S104" s="31" t="str">
        <f>IFERROR(__xludf.DUMMYFUNCTION("SPARKLINE((M104-MIN($J104:$N104))/SUMPRODUCT($J104:$N104-MIN($J104:$N104)), {""charttype"",""bar""; ""max"",1; ""color1"",""#4285F4""})"),"")</f>
        <v/>
      </c>
      <c r="T104" s="31" t="str">
        <f>IFERROR(__xludf.DUMMYFUNCTION("SPARKLINE((N104-MIN($J104:$N104))/SUMPRODUCT($J104:$N104-MIN($J104:$N104)), {""charttype"",""bar""; ""max"",1; ""color1"",""#4285F4""})"),"")</f>
        <v/>
      </c>
      <c r="W104" s="2"/>
      <c r="X104" s="2"/>
      <c r="Y104" s="2"/>
      <c r="Z104" s="2"/>
      <c r="AA104" s="2"/>
      <c r="AB104" s="2"/>
      <c r="AC104" s="2"/>
    </row>
    <row r="105">
      <c r="B105" s="1"/>
      <c r="C105" s="2"/>
      <c r="D105" s="2"/>
      <c r="E105" s="2"/>
      <c r="F105" s="2"/>
      <c r="G105" s="2"/>
      <c r="H105" s="2"/>
      <c r="I105" s="6"/>
      <c r="J105" s="11">
        <f t="shared" ref="J105:N105" si="22">J98/$G$107</f>
        <v>0.1589049952</v>
      </c>
      <c r="K105" s="10">
        <f t="shared" si="22"/>
        <v>-2.076477532</v>
      </c>
      <c r="L105" s="10">
        <f t="shared" si="22"/>
        <v>-2.434278696</v>
      </c>
      <c r="M105" s="10">
        <f t="shared" si="22"/>
        <v>0.3365899509</v>
      </c>
      <c r="N105" s="12">
        <f t="shared" si="22"/>
        <v>1.236550071</v>
      </c>
      <c r="O105" s="3"/>
      <c r="P105" s="31" t="str">
        <f>IFERROR(__xludf.DUMMYFUNCTION("SPARKLINE((J105-MIN($J105:$N105))/SUMPRODUCT($J105:$N105-MIN($J105:$N105)), {""charttype"",""bar""; ""max"",1; ""color1"",""#4285F4""})"),"")</f>
        <v/>
      </c>
      <c r="Q105" s="31" t="str">
        <f>IFERROR(__xludf.DUMMYFUNCTION("SPARKLINE((K105-MIN($J105:$N105))/SUMPRODUCT($J105:$N105-MIN($J105:$N105)), {""charttype"",""bar""; ""max"",1; ""color1"",""#4285F4""})"),"")</f>
        <v/>
      </c>
      <c r="R105" s="31" t="str">
        <f>IFERROR(__xludf.DUMMYFUNCTION("SPARKLINE((L105-MIN($J105:$N105))/SUMPRODUCT($J105:$N105-MIN($J105:$N105)), {""charttype"",""bar""; ""max"",1; ""color1"",""#4285F4""})"),"")</f>
        <v/>
      </c>
      <c r="S105" s="31" t="str">
        <f>IFERROR(__xludf.DUMMYFUNCTION("SPARKLINE((M105-MIN($J105:$N105))/SUMPRODUCT($J105:$N105-MIN($J105:$N105)), {""charttype"",""bar""; ""max"",1; ""color1"",""#4285F4""})"),"")</f>
        <v/>
      </c>
      <c r="T105" s="31" t="str">
        <f>IFERROR(__xludf.DUMMYFUNCTION("SPARKLINE((N105-MIN($J105:$N105))/SUMPRODUCT($J105:$N105-MIN($J105:$N105)), {""charttype"",""bar""; ""max"",1; ""color1"",""#4285F4""})"),"")</f>
        <v/>
      </c>
      <c r="W105" s="2"/>
      <c r="X105" s="2"/>
      <c r="Y105" s="2"/>
      <c r="Z105" s="2"/>
      <c r="AA105" s="2"/>
      <c r="AB105" s="2"/>
      <c r="AC105" s="2"/>
    </row>
    <row r="106">
      <c r="B106" s="1"/>
      <c r="C106" s="2"/>
      <c r="D106" s="2"/>
      <c r="E106" s="2"/>
      <c r="F106" s="6"/>
      <c r="G106" s="25"/>
      <c r="H106" s="2"/>
      <c r="I106" s="2"/>
      <c r="J106" s="11">
        <f t="shared" ref="J106:N106" si="23">J99/$G$107</f>
        <v>-0.04866375936</v>
      </c>
      <c r="K106" s="10">
        <f t="shared" si="23"/>
        <v>-2.82589212</v>
      </c>
      <c r="L106" s="10">
        <f t="shared" si="23"/>
        <v>-3.559933085</v>
      </c>
      <c r="M106" s="10">
        <f t="shared" si="23"/>
        <v>0.355830905</v>
      </c>
      <c r="N106" s="12">
        <f t="shared" si="23"/>
        <v>2.018565104</v>
      </c>
      <c r="O106" s="3"/>
      <c r="P106" s="31" t="str">
        <f>IFERROR(__xludf.DUMMYFUNCTION("SPARKLINE((J106-MIN($J106:$N106))/SUMPRODUCT($J106:$N106-MIN($J106:$N106)), {""charttype"",""bar""; ""max"",1; ""color1"",""#4285F4""})"),"")</f>
        <v/>
      </c>
      <c r="Q106" s="31" t="str">
        <f>IFERROR(__xludf.DUMMYFUNCTION("SPARKLINE((K106-MIN($J106:$N106))/SUMPRODUCT($J106:$N106-MIN($J106:$N106)), {""charttype"",""bar""; ""max"",1; ""color1"",""#4285F4""})"),"")</f>
        <v/>
      </c>
      <c r="R106" s="31" t="str">
        <f>IFERROR(__xludf.DUMMYFUNCTION("SPARKLINE((L106-MIN($J106:$N106))/SUMPRODUCT($J106:$N106-MIN($J106:$N106)), {""charttype"",""bar""; ""max"",1; ""color1"",""#4285F4""})"),"")</f>
        <v/>
      </c>
      <c r="S106" s="31" t="str">
        <f>IFERROR(__xludf.DUMMYFUNCTION("SPARKLINE((M106-MIN($J106:$N106))/SUMPRODUCT($J106:$N106-MIN($J106:$N106)), {""charttype"",""bar""; ""max"",1; ""color1"",""#4285F4""})"),"")</f>
        <v/>
      </c>
      <c r="T106" s="31" t="str">
        <f>IFERROR(__xludf.DUMMYFUNCTION("SPARKLINE((N106-MIN($J106:$N106))/SUMPRODUCT($J106:$N106-MIN($J106:$N106)), {""charttype"",""bar""; ""max"",1; ""color1"",""#4285F4""})"),"")</f>
        <v/>
      </c>
      <c r="W106" s="2"/>
      <c r="X106" s="2"/>
      <c r="Y106" s="2"/>
      <c r="Z106" s="2"/>
      <c r="AA106" s="2"/>
      <c r="AB106" s="2"/>
      <c r="AC106" s="2"/>
    </row>
    <row r="107">
      <c r="B107" s="1"/>
      <c r="C107" s="2"/>
      <c r="D107" s="2"/>
      <c r="E107" s="2"/>
      <c r="F107" s="6" t="s">
        <v>21</v>
      </c>
      <c r="G107" s="33">
        <f>power(5, 0.5)</f>
        <v>2.236067977</v>
      </c>
      <c r="H107" s="17" t="s">
        <v>7</v>
      </c>
      <c r="I107" s="17" t="s">
        <v>7</v>
      </c>
      <c r="J107" s="11">
        <f t="shared" ref="J107:N107" si="24">J100/$G$107</f>
        <v>-2.100285877</v>
      </c>
      <c r="K107" s="10">
        <f t="shared" si="24"/>
        <v>-0.6502855324</v>
      </c>
      <c r="L107" s="10">
        <f t="shared" si="24"/>
        <v>-0.6494500425</v>
      </c>
      <c r="M107" s="10">
        <f t="shared" si="24"/>
        <v>0.2602260876</v>
      </c>
      <c r="N107" s="12">
        <f t="shared" si="24"/>
        <v>-0.4891139316</v>
      </c>
      <c r="O107" s="3"/>
      <c r="P107" s="31" t="str">
        <f>IFERROR(__xludf.DUMMYFUNCTION("SPARKLINE((J107-MIN($J107:$N107))/SUMPRODUCT($J107:$N107-MIN($J107:$N107)), {""charttype"",""bar""; ""max"",1; ""color1"",""#4285F4""})"),"")</f>
        <v/>
      </c>
      <c r="Q107" s="31" t="str">
        <f>IFERROR(__xludf.DUMMYFUNCTION("SPARKLINE((K107-MIN($J107:$N107))/SUMPRODUCT($J107:$N107-MIN($J107:$N107)), {""charttype"",""bar""; ""max"",1; ""color1"",""#4285F4""})"),"")</f>
        <v/>
      </c>
      <c r="R107" s="31" t="str">
        <f>IFERROR(__xludf.DUMMYFUNCTION("SPARKLINE((L107-MIN($J107:$N107))/SUMPRODUCT($J107:$N107-MIN($J107:$N107)), {""charttype"",""bar""; ""max"",1; ""color1"",""#4285F4""})"),"")</f>
        <v/>
      </c>
      <c r="S107" s="31" t="str">
        <f>IFERROR(__xludf.DUMMYFUNCTION("SPARKLINE((M107-MIN($J107:$N107))/SUMPRODUCT($J107:$N107-MIN($J107:$N107)), {""charttype"",""bar""; ""max"",1; ""color1"",""#4285F4""})"),"")</f>
        <v/>
      </c>
      <c r="T107" s="31" t="str">
        <f>IFERROR(__xludf.DUMMYFUNCTION("SPARKLINE((N107-MIN($J107:$N107))/SUMPRODUCT($J107:$N107-MIN($J107:$N107)), {""charttype"",""bar""; ""max"",1; ""color1"",""#4285F4""})"),"")</f>
        <v/>
      </c>
      <c r="W107" s="2"/>
      <c r="X107" s="2"/>
      <c r="Y107" s="2"/>
      <c r="Z107" s="2"/>
      <c r="AA107" s="2"/>
      <c r="AB107" s="2"/>
      <c r="AC107" s="2"/>
    </row>
    <row r="108">
      <c r="B108" s="1"/>
      <c r="C108" s="2"/>
      <c r="D108" s="2"/>
      <c r="E108" s="2"/>
      <c r="F108" s="2"/>
      <c r="G108" s="2"/>
      <c r="H108" s="2"/>
      <c r="I108" s="2"/>
      <c r="J108" s="13">
        <f t="shared" ref="J108:N108" si="25">J101/$G$107</f>
        <v>0.4126059648</v>
      </c>
      <c r="K108" s="14">
        <f t="shared" si="25"/>
        <v>-0.1940738922</v>
      </c>
      <c r="L108" s="14">
        <f t="shared" si="25"/>
        <v>0.06249709329</v>
      </c>
      <c r="M108" s="14">
        <f t="shared" si="25"/>
        <v>-0.4641213802</v>
      </c>
      <c r="N108" s="15">
        <f t="shared" si="25"/>
        <v>-0.9259241547</v>
      </c>
      <c r="O108" s="3"/>
      <c r="P108" s="31" t="str">
        <f>IFERROR(__xludf.DUMMYFUNCTION("SPARKLINE((J108-MIN($J108:$N108))/SUMPRODUCT($J108:$N108-MIN($J108:$N108)), {""charttype"",""bar""; ""max"",1; ""color1"",""#4285F4""})"),"")</f>
        <v/>
      </c>
      <c r="Q108" s="31" t="str">
        <f>IFERROR(__xludf.DUMMYFUNCTION("SPARKLINE((K108-MIN($J108:$N108))/SUMPRODUCT($J108:$N108-MIN($J108:$N108)), {""charttype"",""bar""; ""max"",1; ""color1"",""#4285F4""})"),"")</f>
        <v/>
      </c>
      <c r="R108" s="31" t="str">
        <f>IFERROR(__xludf.DUMMYFUNCTION("SPARKLINE((L108-MIN($J108:$N108))/SUMPRODUCT($J108:$N108-MIN($J108:$N108)), {""charttype"",""bar""; ""max"",1; ""color1"",""#4285F4""})"),"")</f>
        <v/>
      </c>
      <c r="S108" s="31" t="str">
        <f>IFERROR(__xludf.DUMMYFUNCTION("SPARKLINE((M108-MIN($J108:$N108))/SUMPRODUCT($J108:$N108-MIN($J108:$N108)), {""charttype"",""bar""; ""max"",1; ""color1"",""#4285F4""})"),"")</f>
        <v/>
      </c>
      <c r="T108" s="31" t="str">
        <f>IFERROR(__xludf.DUMMYFUNCTION("SPARKLINE((N108-MIN($J108:$N108))/SUMPRODUCT($J108:$N108-MIN($J108:$N108)), {""charttype"",""bar""; ""max"",1; ""color1"",""#4285F4""})"),"")</f>
        <v/>
      </c>
      <c r="W108" s="2"/>
      <c r="X108" s="2"/>
      <c r="Y108" s="2"/>
      <c r="Z108" s="2"/>
      <c r="AA108" s="2"/>
      <c r="AB108" s="2"/>
      <c r="AC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1" t="s">
        <v>3</v>
      </c>
      <c r="M109" s="2"/>
      <c r="N109" s="2"/>
      <c r="O109" s="3"/>
      <c r="W109" s="2"/>
      <c r="X109" s="2"/>
      <c r="Y109" s="2"/>
      <c r="Z109" s="2"/>
      <c r="AA109" s="2"/>
      <c r="AB109" s="2"/>
      <c r="AC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1" t="s">
        <v>3</v>
      </c>
      <c r="M110" s="2"/>
      <c r="N110" s="2"/>
      <c r="O110" s="3"/>
      <c r="W110" s="2"/>
      <c r="X110" s="2"/>
      <c r="Y110" s="2"/>
      <c r="Z110" s="2"/>
      <c r="AA110" s="2"/>
      <c r="AB110" s="2"/>
      <c r="AC110" s="2"/>
    </row>
    <row r="111">
      <c r="B111" s="1"/>
      <c r="C111" s="2"/>
      <c r="D111" s="2"/>
      <c r="E111" s="2"/>
      <c r="F111" s="2"/>
      <c r="G111" s="2"/>
      <c r="H111" s="2"/>
      <c r="I111" s="34" t="s">
        <v>24</v>
      </c>
      <c r="J111" s="38">
        <f t="shared" ref="J111:N111" si="26">EXP(J104)/SUMPRODUCT(EXP($J104:$N104))
</f>
        <v>0.4760919944</v>
      </c>
      <c r="K111" s="36">
        <f t="shared" si="26"/>
        <v>0.007567003081</v>
      </c>
      <c r="L111" s="36">
        <f t="shared" si="26"/>
        <v>0.003697168721</v>
      </c>
      <c r="M111" s="36">
        <f t="shared" si="26"/>
        <v>0.01863392601</v>
      </c>
      <c r="N111" s="37">
        <f t="shared" si="26"/>
        <v>0.4940099077</v>
      </c>
      <c r="O111" s="3"/>
      <c r="P111" s="31" t="str">
        <f>IFERROR(__xludf.DUMMYFUNCTION("SPARKLINE((J111-MIN($J111:$N111))/SUMPRODUCT($J111:$N111-MIN($J111:$N111)), {""charttype"",""bar""; ""max"",1; ""color1"",""#4285F4""})"),"")</f>
        <v/>
      </c>
      <c r="Q111" s="31" t="str">
        <f>IFERROR(__xludf.DUMMYFUNCTION("SPARKLINE((K111-MIN($J111:$N111))/SUMPRODUCT($J111:$N111-MIN($J111:$N111)), {""charttype"",""bar""; ""max"",1; ""color1"",""#4285F4""})"),"")</f>
        <v/>
      </c>
      <c r="R111" s="31" t="str">
        <f>IFERROR(__xludf.DUMMYFUNCTION("SPARKLINE((L111-MIN($J111:$N111))/SUMPRODUCT($J111:$N111-MIN($J111:$N111)), {""charttype"",""bar""; ""max"",1; ""color1"",""#4285F4""})"),"")</f>
        <v/>
      </c>
      <c r="S111" s="31" t="str">
        <f>IFERROR(__xludf.DUMMYFUNCTION("SPARKLINE((M111-MIN($J111:$N111))/SUMPRODUCT($J111:$N111-MIN($J111:$N111)), {""charttype"",""bar""; ""max"",1; ""color1"",""#4285F4""})"),"")</f>
        <v/>
      </c>
      <c r="T111" s="31" t="str">
        <f>IFERROR(__xludf.DUMMYFUNCTION("SPARKLINE((N111-MIN($J111:$N111))/SUMPRODUCT($J111:$N111-MIN($J111:$N111)), {""charttype"",""bar""; ""max"",1; ""color1"",""#4285F4""})"),"")</f>
        <v/>
      </c>
      <c r="W111" s="2"/>
      <c r="X111" s="2"/>
      <c r="Y111" s="2"/>
      <c r="Z111" s="2"/>
      <c r="AA111" s="2"/>
      <c r="AB111" s="2"/>
      <c r="AC111" s="2"/>
    </row>
    <row r="112">
      <c r="B112" s="1"/>
      <c r="C112" s="2"/>
      <c r="D112" s="2"/>
      <c r="E112" s="2"/>
      <c r="F112" s="2"/>
      <c r="G112" s="2"/>
      <c r="H112" s="2"/>
      <c r="I112" s="34" t="s">
        <v>26</v>
      </c>
      <c r="J112" s="39">
        <f t="shared" ref="J112:N112" si="27">EXP(J105)/SUMPRODUCT(EXP($J105:$N105))
</f>
        <v>0.1881844636</v>
      </c>
      <c r="K112" s="40">
        <f t="shared" si="27"/>
        <v>0.02012655612</v>
      </c>
      <c r="L112" s="40">
        <f t="shared" si="27"/>
        <v>0.01407273137</v>
      </c>
      <c r="M112" s="40">
        <f t="shared" si="27"/>
        <v>0.2247767363</v>
      </c>
      <c r="N112" s="41">
        <f t="shared" si="27"/>
        <v>0.5528395126</v>
      </c>
      <c r="O112" s="3"/>
      <c r="P112" s="31" t="str">
        <f>IFERROR(__xludf.DUMMYFUNCTION("SPARKLINE((J112-MIN($J112:$N112))/SUMPRODUCT($J112:$N112-MIN($J112:$N112)), {""charttype"",""bar""; ""max"",1; ""color1"",""#4285F4""})"),"")</f>
        <v/>
      </c>
      <c r="Q112" s="31" t="str">
        <f>IFERROR(__xludf.DUMMYFUNCTION("SPARKLINE((K112-MIN($J112:$N112))/SUMPRODUCT($J112:$N112-MIN($J112:$N112)), {""charttype"",""bar""; ""max"",1; ""color1"",""#4285F4""})"),"")</f>
        <v/>
      </c>
      <c r="R112" s="31" t="str">
        <f>IFERROR(__xludf.DUMMYFUNCTION("SPARKLINE((L112-MIN($J112:$N112))/SUMPRODUCT($J112:$N112-MIN($J112:$N112)), {""charttype"",""bar""; ""max"",1; ""color1"",""#4285F4""})"),"")</f>
        <v/>
      </c>
      <c r="S112" s="31" t="str">
        <f>IFERROR(__xludf.DUMMYFUNCTION("SPARKLINE((M112-MIN($J112:$N112))/SUMPRODUCT($J112:$N112-MIN($J112:$N112)), {""charttype"",""bar""; ""max"",1; ""color1"",""#4285F4""})"),"")</f>
        <v/>
      </c>
      <c r="T112" s="31" t="str">
        <f>IFERROR(__xludf.DUMMYFUNCTION("SPARKLINE((N112-MIN($J112:$N112))/SUMPRODUCT($J112:$N112-MIN($J112:$N112)), {""charttype"",""bar""; ""max"",1; ""color1"",""#4285F4""})"),"")</f>
        <v/>
      </c>
      <c r="W112" s="2"/>
      <c r="X112" s="2"/>
      <c r="Y112" s="2"/>
      <c r="Z112" s="2"/>
      <c r="AA112" s="2"/>
      <c r="AB112" s="2"/>
      <c r="AC112" s="2"/>
    </row>
    <row r="113">
      <c r="B113" s="1"/>
      <c r="C113" s="2"/>
      <c r="D113" s="2"/>
      <c r="E113" s="2"/>
      <c r="F113" s="2"/>
      <c r="G113" s="2"/>
      <c r="H113" s="2"/>
      <c r="I113" s="42"/>
      <c r="J113" s="39">
        <f t="shared" ref="J113:N113" si="28">EXP(J106)/SUMPRODUCT(EXP($J106:$N106))
</f>
        <v>0.09529702076</v>
      </c>
      <c r="K113" s="40">
        <f t="shared" si="28"/>
        <v>0.005928493822</v>
      </c>
      <c r="L113" s="40">
        <f t="shared" si="28"/>
        <v>0.002845472751</v>
      </c>
      <c r="M113" s="40">
        <f t="shared" si="28"/>
        <v>0.1428068778</v>
      </c>
      <c r="N113" s="41">
        <f t="shared" si="28"/>
        <v>0.7531221348</v>
      </c>
      <c r="O113" s="3"/>
      <c r="P113" s="31" t="str">
        <f>IFERROR(__xludf.DUMMYFUNCTION("SPARKLINE((J113-MIN($J113:$N113))/SUMPRODUCT($J113:$N113-MIN($J113:$N113)), {""charttype"",""bar""; ""max"",1; ""color1"",""#4285F4""})"),"")</f>
        <v/>
      </c>
      <c r="Q113" s="31" t="str">
        <f>IFERROR(__xludf.DUMMYFUNCTION("SPARKLINE((K113-MIN($J113:$N113))/SUMPRODUCT($J113:$N113-MIN($J113:$N113)), {""charttype"",""bar""; ""max"",1; ""color1"",""#4285F4""})"),"")</f>
        <v/>
      </c>
      <c r="R113" s="31" t="str">
        <f>IFERROR(__xludf.DUMMYFUNCTION("SPARKLINE((L113-MIN($J113:$N113))/SUMPRODUCT($J113:$N113-MIN($J113:$N113)), {""charttype"",""bar""; ""max"",1; ""color1"",""#4285F4""})"),"")</f>
        <v/>
      </c>
      <c r="S113" s="31" t="str">
        <f>IFERROR(__xludf.DUMMYFUNCTION("SPARKLINE((M113-MIN($J113:$N113))/SUMPRODUCT($J113:$N113-MIN($J113:$N113)), {""charttype"",""bar""; ""max"",1; ""color1"",""#4285F4""})"),"")</f>
        <v/>
      </c>
      <c r="T113" s="31" t="str">
        <f>IFERROR(__xludf.DUMMYFUNCTION("SPARKLINE((N113-MIN($J113:$N113))/SUMPRODUCT($J113:$N113-MIN($J113:$N113)), {""charttype"",""bar""; ""max"",1; ""color1"",""#4285F4""})"),"")</f>
        <v/>
      </c>
      <c r="W113" s="2"/>
      <c r="X113" s="2"/>
      <c r="Y113" s="2"/>
      <c r="Z113" s="2"/>
      <c r="AA113" s="2"/>
      <c r="AB113" s="2"/>
      <c r="AC113" s="2"/>
    </row>
    <row r="114">
      <c r="B114" s="1"/>
      <c r="C114" s="2"/>
      <c r="D114" s="2"/>
      <c r="E114" s="2"/>
      <c r="F114" s="2"/>
      <c r="G114" s="2"/>
      <c r="H114" s="2"/>
      <c r="I114" s="43"/>
      <c r="J114" s="39">
        <f t="shared" ref="J114:N114" si="29">EXP(J107)/SUMPRODUCT(EXP($J107:$N107))
</f>
        <v>0.03978540079</v>
      </c>
      <c r="K114" s="40">
        <f t="shared" si="29"/>
        <v>0.169609778</v>
      </c>
      <c r="L114" s="40">
        <f t="shared" si="29"/>
        <v>0.1697515445</v>
      </c>
      <c r="M114" s="40">
        <f t="shared" si="29"/>
        <v>0.4215810276</v>
      </c>
      <c r="N114" s="41">
        <f t="shared" si="29"/>
        <v>0.1992722491</v>
      </c>
      <c r="O114" s="3"/>
      <c r="P114" s="31" t="str">
        <f>IFERROR(__xludf.DUMMYFUNCTION("SPARKLINE((J114-MIN($J114:$N114))/SUMPRODUCT($J114:$N114-MIN($J114:$N114)), {""charttype"",""bar""; ""max"",1; ""color1"",""#4285F4""})"),"")</f>
        <v/>
      </c>
      <c r="Q114" s="31" t="str">
        <f>IFERROR(__xludf.DUMMYFUNCTION("SPARKLINE((K114-MIN($J114:$N114))/SUMPRODUCT($J114:$N114-MIN($J114:$N114)), {""charttype"",""bar""; ""max"",1; ""color1"",""#4285F4""})"),"")</f>
        <v/>
      </c>
      <c r="R114" s="31" t="str">
        <f>IFERROR(__xludf.DUMMYFUNCTION("SPARKLINE((L114-MIN($J114:$N114))/SUMPRODUCT($J114:$N114-MIN($J114:$N114)), {""charttype"",""bar""; ""max"",1; ""color1"",""#4285F4""})"),"")</f>
        <v/>
      </c>
      <c r="S114" s="31" t="str">
        <f>IFERROR(__xludf.DUMMYFUNCTION("SPARKLINE((M114-MIN($J114:$N114))/SUMPRODUCT($J114:$N114-MIN($J114:$N114)), {""charttype"",""bar""; ""max"",1; ""color1"",""#4285F4""})"),"")</f>
        <v/>
      </c>
      <c r="T114" s="31" t="str">
        <f>IFERROR(__xludf.DUMMYFUNCTION("SPARKLINE((N114-MIN($J114:$N114))/SUMPRODUCT($J114:$N114-MIN($J114:$N114)), {""charttype"",""bar""; ""max"",1; ""color1"",""#4285F4""})"),"")</f>
        <v/>
      </c>
      <c r="W114" s="2"/>
      <c r="X114" s="2"/>
      <c r="Y114" s="2"/>
      <c r="Z114" s="2"/>
      <c r="AA114" s="2"/>
      <c r="AB114" s="2"/>
      <c r="AC114" s="2"/>
    </row>
    <row r="115">
      <c r="B115" s="1"/>
      <c r="C115" s="2"/>
      <c r="D115" s="2"/>
      <c r="E115" s="2"/>
      <c r="F115" s="2"/>
      <c r="G115" s="2"/>
      <c r="H115" s="2"/>
      <c r="I115" s="42"/>
      <c r="J115" s="44">
        <f t="shared" ref="J115:N115" si="30">EXP(J108)/SUMPRODUCT(EXP($J108:$N108))
</f>
        <v>0.341513416</v>
      </c>
      <c r="K115" s="45">
        <f t="shared" si="30"/>
        <v>0.1861787263</v>
      </c>
      <c r="L115" s="45">
        <f t="shared" si="30"/>
        <v>0.2406342371</v>
      </c>
      <c r="M115" s="45">
        <f t="shared" si="30"/>
        <v>0.1421182729</v>
      </c>
      <c r="N115" s="46">
        <f t="shared" si="30"/>
        <v>0.0895553477</v>
      </c>
      <c r="O115" s="3"/>
      <c r="P115" s="31" t="str">
        <f>IFERROR(__xludf.DUMMYFUNCTION("SPARKLINE((J115-MIN($J115:$N115))/SUMPRODUCT($J115:$N115-MIN($J115:$N115)), {""charttype"",""bar""; ""max"",1; ""color1"",""#4285F4""})"),"")</f>
        <v/>
      </c>
      <c r="Q115" s="31" t="str">
        <f>IFERROR(__xludf.DUMMYFUNCTION("SPARKLINE((K115-MIN($J115:$N115))/SUMPRODUCT($J115:$N115-MIN($J115:$N115)), {""charttype"",""bar""; ""max"",1; ""color1"",""#4285F4""})"),"")</f>
        <v/>
      </c>
      <c r="R115" s="31" t="str">
        <f>IFERROR(__xludf.DUMMYFUNCTION("SPARKLINE((L115-MIN($J115:$N115))/SUMPRODUCT($J115:$N115-MIN($J115:$N115)), {""charttype"",""bar""; ""max"",1; ""color1"",""#4285F4""})"),"")</f>
        <v/>
      </c>
      <c r="S115" s="31" t="str">
        <f>IFERROR(__xludf.DUMMYFUNCTION("SPARKLINE((M115-MIN($J115:$N115))/SUMPRODUCT($J115:$N115-MIN($J115:$N115)), {""charttype"",""bar""; ""max"",1; ""color1"",""#4285F4""})"),"")</f>
        <v/>
      </c>
      <c r="T115" s="31" t="str">
        <f>IFERROR(__xludf.DUMMYFUNCTION("SPARKLINE((N115-MIN($J115:$N115))/SUMPRODUCT($J115:$N115-MIN($J115:$N115)), {""charttype"",""bar""; ""max"",1; ""color1"",""#4285F4""})"),"")</f>
        <v/>
      </c>
      <c r="W115" s="2"/>
      <c r="X115" s="2"/>
      <c r="Y115" s="2"/>
      <c r="Z115" s="2"/>
      <c r="AA115" s="2"/>
      <c r="AB115" s="2"/>
      <c r="AC115" s="2"/>
    </row>
    <row r="116"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47" t="s">
        <v>27</v>
      </c>
      <c r="AA117" s="48"/>
      <c r="AB117" s="48"/>
      <c r="AC117" s="48"/>
    </row>
    <row r="118"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B123" s="1"/>
      <c r="C123" s="2"/>
      <c r="D123" s="2"/>
      <c r="E123" s="2"/>
      <c r="F123" s="2"/>
      <c r="G123" s="2"/>
      <c r="H123" s="2"/>
      <c r="I123" s="6" t="s">
        <v>22</v>
      </c>
      <c r="J123" s="7">
        <f t="array" ref="J123:N127">J104:N108</f>
        <v>3.136271702</v>
      </c>
      <c r="K123" s="8">
        <v>-1.0055423041546756</v>
      </c>
      <c r="L123" s="8">
        <v>-1.721772082928029</v>
      </c>
      <c r="M123" s="8">
        <v>-0.10435550052688751</v>
      </c>
      <c r="N123" s="9">
        <v>3.173216174107394</v>
      </c>
      <c r="O123" s="3"/>
      <c r="P123" s="31" t="str">
        <f>IFERROR(__xludf.DUMMYFUNCTION("SPARKLINE((J123-MIN($J123:$N123))/SUMPRODUCT($J123:$N123-MIN($J123:$N123)), {""charttype"",""bar""; ""max"",1; ""color1"",""#4285F4""})"),"")</f>
        <v/>
      </c>
      <c r="Q123" s="31" t="str">
        <f>IFERROR(__xludf.DUMMYFUNCTION("SPARKLINE((K123-MIN($J123:$N123))/SUMPRODUCT($J123:$N123-MIN($J123:$N123)), {""charttype"",""bar""; ""max"",1; ""color1"",""#4285F4""})"),"")</f>
        <v/>
      </c>
      <c r="R123" s="31" t="str">
        <f>IFERROR(__xludf.DUMMYFUNCTION("SPARKLINE((L123-MIN($J123:$N123))/SUMPRODUCT($J123:$N123-MIN($J123:$N123)), {""charttype"",""bar""; ""max"",1; ""color1"",""#4285F4""})"),"")</f>
        <v/>
      </c>
      <c r="S123" s="31" t="str">
        <f>IFERROR(__xludf.DUMMYFUNCTION("SPARKLINE((M123-MIN($J123:$N123))/SUMPRODUCT($J123:$N123-MIN($J123:$N123)), {""charttype"",""bar""; ""max"",1; ""color1"",""#4285F4""})"),"")</f>
        <v/>
      </c>
      <c r="T123" s="31" t="str">
        <f>IFERROR(__xludf.DUMMYFUNCTION("SPARKLINE((N123-MIN($J123:$N123))/SUMPRODUCT($J123:$N123-MIN($J123:$N123)), {""charttype"",""bar""; ""max"",1; ""color1"",""#4285F4""})"),"")</f>
        <v/>
      </c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B124" s="1"/>
      <c r="C124" s="2"/>
      <c r="D124" s="2"/>
      <c r="E124" s="2"/>
      <c r="F124" s="2"/>
      <c r="G124" s="2"/>
      <c r="H124" s="2"/>
      <c r="I124" s="6"/>
      <c r="J124" s="11">
        <v>0.15890499524823276</v>
      </c>
      <c r="K124" s="10">
        <v>-2.076477532462311</v>
      </c>
      <c r="L124" s="10">
        <v>-2.4342786958416607</v>
      </c>
      <c r="M124" s="10">
        <v>0.3365899508584913</v>
      </c>
      <c r="N124" s="12">
        <v>1.2365500714924775</v>
      </c>
      <c r="O124" s="3"/>
      <c r="P124" s="31" t="str">
        <f>IFERROR(__xludf.DUMMYFUNCTION("SPARKLINE((J124-MIN($J124:$N124))/SUMPRODUCT($J124:$N124-MIN($J124:$N124)), {""charttype"",""bar""; ""max"",1; ""color1"",""#4285F4""})"),"")</f>
        <v/>
      </c>
      <c r="Q124" s="31" t="str">
        <f>IFERROR(__xludf.DUMMYFUNCTION("SPARKLINE((K124-MIN($J124:$N124))/SUMPRODUCT($J124:$N124-MIN($J124:$N124)), {""charttype"",""bar""; ""max"",1; ""color1"",""#4285F4""})"),"")</f>
        <v/>
      </c>
      <c r="R124" s="31" t="str">
        <f>IFERROR(__xludf.DUMMYFUNCTION("SPARKLINE((L124-MIN($J124:$N124))/SUMPRODUCT($J124:$N124-MIN($J124:$N124)), {""charttype"",""bar""; ""max"",1; ""color1"",""#4285F4""})"),"")</f>
        <v/>
      </c>
      <c r="S124" s="31" t="str">
        <f>IFERROR(__xludf.DUMMYFUNCTION("SPARKLINE((M124-MIN($J124:$N124))/SUMPRODUCT($J124:$N124-MIN($J124:$N124)), {""charttype"",""bar""; ""max"",1; ""color1"",""#4285F4""})"),"")</f>
        <v/>
      </c>
      <c r="T124" s="31" t="str">
        <f>IFERROR(__xludf.DUMMYFUNCTION("SPARKLINE((N124-MIN($J124:$N124))/SUMPRODUCT($J124:$N124-MIN($J124:$N124)), {""charttype"",""bar""; ""max"",1; ""color1"",""#4285F4""})"),"")</f>
        <v/>
      </c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B125" s="1"/>
      <c r="C125" s="2"/>
      <c r="D125" s="2"/>
      <c r="E125" s="2"/>
      <c r="F125" s="2"/>
      <c r="G125" s="2"/>
      <c r="H125" s="2"/>
      <c r="I125" s="2"/>
      <c r="J125" s="11">
        <v>-0.04866375935951803</v>
      </c>
      <c r="K125" s="10">
        <v>-2.8258921199791467</v>
      </c>
      <c r="L125" s="10">
        <v>-3.559933084945848</v>
      </c>
      <c r="M125" s="10">
        <v>0.3558309050470294</v>
      </c>
      <c r="N125" s="12">
        <v>2.0185651044347948</v>
      </c>
      <c r="O125" s="3"/>
      <c r="P125" s="31" t="str">
        <f>IFERROR(__xludf.DUMMYFUNCTION("SPARKLINE((J125-MIN($J125:$N125))/SUMPRODUCT($J125:$N125-MIN($J125:$N125)), {""charttype"",""bar""; ""max"",1; ""color1"",""#4285F4""})"),"")</f>
        <v/>
      </c>
      <c r="Q125" s="31" t="str">
        <f>IFERROR(__xludf.DUMMYFUNCTION("SPARKLINE((K125-MIN($J125:$N125))/SUMPRODUCT($J125:$N125-MIN($J125:$N125)), {""charttype"",""bar""; ""max"",1; ""color1"",""#4285F4""})"),"")</f>
        <v/>
      </c>
      <c r="R125" s="31" t="str">
        <f>IFERROR(__xludf.DUMMYFUNCTION("SPARKLINE((L125-MIN($J125:$N125))/SUMPRODUCT($J125:$N125-MIN($J125:$N125)), {""charttype"",""bar""; ""max"",1; ""color1"",""#4285F4""})"),"")</f>
        <v/>
      </c>
      <c r="S125" s="31" t="str">
        <f>IFERROR(__xludf.DUMMYFUNCTION("SPARKLINE((M125-MIN($J125:$N125))/SUMPRODUCT($J125:$N125-MIN($J125:$N125)), {""charttype"",""bar""; ""max"",1; ""color1"",""#4285F4""})"),"")</f>
        <v/>
      </c>
      <c r="T125" s="31" t="str">
        <f>IFERROR(__xludf.DUMMYFUNCTION("SPARKLINE((N125-MIN($J125:$N125))/SUMPRODUCT($J125:$N125-MIN($J125:$N125)), {""charttype"",""bar""; ""max"",1; ""color1"",""#4285F4""})"),"")</f>
        <v/>
      </c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B126" s="1"/>
      <c r="C126" s="2"/>
      <c r="D126" s="2"/>
      <c r="E126" s="2"/>
      <c r="F126" s="2"/>
      <c r="G126" s="2"/>
      <c r="H126" s="2"/>
      <c r="I126" s="17"/>
      <c r="J126" s="11">
        <v>-2.100285876726505</v>
      </c>
      <c r="K126" s="10">
        <v>-0.6502855323536456</v>
      </c>
      <c r="L126" s="10">
        <v>-0.6494500425471451</v>
      </c>
      <c r="M126" s="10">
        <v>0.2602260876332248</v>
      </c>
      <c r="N126" s="12">
        <v>-0.4891139316285818</v>
      </c>
      <c r="O126" s="3"/>
      <c r="P126" s="31" t="str">
        <f>IFERROR(__xludf.DUMMYFUNCTION("SPARKLINE((J126-MIN($J126:$N126))/SUMPRODUCT($J126:$N126-MIN($J126:$N126)), {""charttype"",""bar""; ""max"",1; ""color1"",""#4285F4""})"),"")</f>
        <v/>
      </c>
      <c r="Q126" s="31" t="str">
        <f>IFERROR(__xludf.DUMMYFUNCTION("SPARKLINE((K126-MIN($J126:$N126))/SUMPRODUCT($J126:$N126-MIN($J126:$N126)), {""charttype"",""bar""; ""max"",1; ""color1"",""#4285F4""})"),"")</f>
        <v/>
      </c>
      <c r="R126" s="31" t="str">
        <f>IFERROR(__xludf.DUMMYFUNCTION("SPARKLINE((L126-MIN($J126:$N126))/SUMPRODUCT($J126:$N126-MIN($J126:$N126)), {""charttype"",""bar""; ""max"",1; ""color1"",""#4285F4""})"),"")</f>
        <v/>
      </c>
      <c r="S126" s="31" t="str">
        <f>IFERROR(__xludf.DUMMYFUNCTION("SPARKLINE((M126-MIN($J126:$N126))/SUMPRODUCT($J126:$N126-MIN($J126:$N126)), {""charttype"",""bar""; ""max"",1; ""color1"",""#4285F4""})"),"")</f>
        <v/>
      </c>
      <c r="T126" s="31" t="str">
        <f>IFERROR(__xludf.DUMMYFUNCTION("SPARKLINE((N126-MIN($J126:$N126))/SUMPRODUCT($J126:$N126-MIN($J126:$N126)), {""charttype"",""bar""; ""max"",1; ""color1"",""#4285F4""})"),"")</f>
        <v/>
      </c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B127" s="1"/>
      <c r="C127" s="2"/>
      <c r="D127" s="2"/>
      <c r="E127" s="2"/>
      <c r="F127" s="2"/>
      <c r="G127" s="2"/>
      <c r="H127" s="2"/>
      <c r="I127" s="2"/>
      <c r="J127" s="13">
        <v>0.4126059648069359</v>
      </c>
      <c r="K127" s="14">
        <v>-0.19407389221418359</v>
      </c>
      <c r="L127" s="14">
        <v>0.06249709328538707</v>
      </c>
      <c r="M127" s="14">
        <v>-0.46412138016220134</v>
      </c>
      <c r="N127" s="15">
        <v>-0.9259241546893534</v>
      </c>
      <c r="O127" s="3"/>
      <c r="P127" s="31" t="str">
        <f>IFERROR(__xludf.DUMMYFUNCTION("SPARKLINE((J127-MIN($J127:$N127))/SUMPRODUCT($J127:$N127-MIN($J127:$N127)), {""charttype"",""bar""; ""max"",1; ""color1"",""#4285F4""})"),"")</f>
        <v/>
      </c>
      <c r="Q127" s="31" t="str">
        <f>IFERROR(__xludf.DUMMYFUNCTION("SPARKLINE((K127-MIN($J127:$N127))/SUMPRODUCT($J127:$N127-MIN($J127:$N127)), {""charttype"",""bar""; ""max"",1; ""color1"",""#4285F4""})"),"")</f>
        <v/>
      </c>
      <c r="R127" s="31" t="str">
        <f>IFERROR(__xludf.DUMMYFUNCTION("SPARKLINE((L127-MIN($J127:$N127))/SUMPRODUCT($J127:$N127-MIN($J127:$N127)), {""charttype"",""bar""; ""max"",1; ""color1"",""#4285F4""})"),"")</f>
        <v/>
      </c>
      <c r="S127" s="31" t="str">
        <f>IFERROR(__xludf.DUMMYFUNCTION("SPARKLINE((M127-MIN($J127:$N127))/SUMPRODUCT($J127:$N127-MIN($J127:$N127)), {""charttype"",""bar""; ""max"",1; ""color1"",""#4285F4""})"),"")</f>
        <v/>
      </c>
      <c r="T127" s="31" t="str">
        <f>IFERROR(__xludf.DUMMYFUNCTION("SPARKLINE((N127-MIN($J127:$N127))/SUMPRODUCT($J127:$N127-MIN($J127:$N127)), {""charttype"",""bar""; ""max"",1; ""color1"",""#4285F4""})"),"")</f>
        <v/>
      </c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1" t="s">
        <v>3</v>
      </c>
      <c r="M128" s="2"/>
      <c r="N128" s="2"/>
      <c r="O128" s="3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1" t="s">
        <v>3</v>
      </c>
      <c r="M129" s="2"/>
      <c r="N129" s="2"/>
      <c r="O129" s="3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B130" s="6" t="s">
        <v>28</v>
      </c>
      <c r="C130" s="49">
        <v>0.0</v>
      </c>
      <c r="D130" s="50">
        <v>-99.0</v>
      </c>
      <c r="E130" s="50">
        <v>-99.0</v>
      </c>
      <c r="F130" s="50">
        <v>-99.0</v>
      </c>
      <c r="G130" s="51">
        <v>-99.0</v>
      </c>
      <c r="H130" s="2"/>
      <c r="I130" s="6" t="s">
        <v>29</v>
      </c>
      <c r="J130" s="7">
        <f t="array" ref="J130:N134">J123:N127+C130:G134</f>
        <v>3.136271702</v>
      </c>
      <c r="K130" s="52">
        <v>-100.00554230415467</v>
      </c>
      <c r="L130" s="53">
        <v>-100.72177208292803</v>
      </c>
      <c r="M130" s="52">
        <v>-99.10435550052689</v>
      </c>
      <c r="N130" s="54">
        <v>-95.8267838258926</v>
      </c>
      <c r="O130" s="3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B131" s="6" t="s">
        <v>31</v>
      </c>
      <c r="C131" s="55">
        <v>0.0</v>
      </c>
      <c r="D131" s="56">
        <v>0.0</v>
      </c>
      <c r="E131" s="57">
        <v>-99.0</v>
      </c>
      <c r="F131" s="57">
        <v>-99.0</v>
      </c>
      <c r="G131" s="58">
        <v>-99.0</v>
      </c>
      <c r="H131" s="2"/>
      <c r="I131" s="2"/>
      <c r="J131" s="11">
        <v>0.15890499524823276</v>
      </c>
      <c r="K131" s="10">
        <v>-2.076477532462311</v>
      </c>
      <c r="L131" s="59">
        <v>-101.43427869584166</v>
      </c>
      <c r="M131" s="60">
        <v>-98.6634100491415</v>
      </c>
      <c r="N131" s="61">
        <v>-97.76344992850753</v>
      </c>
      <c r="O131" s="3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B132" s="1"/>
      <c r="C132" s="55">
        <v>0.0</v>
      </c>
      <c r="D132" s="56">
        <v>0.0</v>
      </c>
      <c r="E132" s="56">
        <v>0.0</v>
      </c>
      <c r="F132" s="57">
        <v>-99.0</v>
      </c>
      <c r="G132" s="58">
        <v>-99.0</v>
      </c>
      <c r="H132" s="17" t="s">
        <v>7</v>
      </c>
      <c r="I132" s="17" t="s">
        <v>7</v>
      </c>
      <c r="J132" s="11">
        <v>-0.04866375935951803</v>
      </c>
      <c r="K132" s="10">
        <v>-2.8258921199791467</v>
      </c>
      <c r="L132" s="17">
        <v>-3.559933084945848</v>
      </c>
      <c r="M132" s="60">
        <v>-98.64416909495297</v>
      </c>
      <c r="N132" s="61">
        <v>-96.9814348955652</v>
      </c>
      <c r="O132" s="3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B133" s="1"/>
      <c r="C133" s="55">
        <v>0.0</v>
      </c>
      <c r="D133" s="56">
        <v>0.0</v>
      </c>
      <c r="E133" s="56">
        <v>0.0</v>
      </c>
      <c r="F133" s="56">
        <v>0.0</v>
      </c>
      <c r="G133" s="58">
        <v>-99.0</v>
      </c>
      <c r="H133" s="2"/>
      <c r="I133" s="2"/>
      <c r="J133" s="11">
        <v>-2.100285876726505</v>
      </c>
      <c r="K133" s="10">
        <v>-0.6502855323536456</v>
      </c>
      <c r="L133" s="17">
        <v>-0.6494500425471451</v>
      </c>
      <c r="M133" s="10">
        <v>0.2602260876332248</v>
      </c>
      <c r="N133" s="61">
        <v>-99.48911393162858</v>
      </c>
      <c r="O133" s="3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B134" s="1"/>
      <c r="C134" s="62">
        <v>0.0</v>
      </c>
      <c r="D134" s="63">
        <v>0.0</v>
      </c>
      <c r="E134" s="63">
        <v>0.0</v>
      </c>
      <c r="F134" s="63">
        <v>0.0</v>
      </c>
      <c r="G134" s="64">
        <v>0.0</v>
      </c>
      <c r="H134" s="2"/>
      <c r="I134" s="2"/>
      <c r="J134" s="13">
        <v>0.4126059648069359</v>
      </c>
      <c r="K134" s="14">
        <v>-0.19407389221418359</v>
      </c>
      <c r="L134" s="65">
        <v>0.06249709328538707</v>
      </c>
      <c r="M134" s="14">
        <v>-0.46412138016220134</v>
      </c>
      <c r="N134" s="15">
        <v>-0.9259241546893534</v>
      </c>
      <c r="O134" s="3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1" t="s">
        <v>3</v>
      </c>
      <c r="M135" s="2"/>
      <c r="N135" s="2"/>
      <c r="O135" s="3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1" t="s">
        <v>3</v>
      </c>
      <c r="M136" s="2"/>
      <c r="N136" s="2"/>
      <c r="O136" s="3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B137" s="1"/>
      <c r="C137" s="2"/>
      <c r="D137" s="2"/>
      <c r="E137" s="2"/>
      <c r="F137" s="2"/>
      <c r="G137" s="2"/>
      <c r="H137" s="2"/>
      <c r="I137" s="34" t="s">
        <v>24</v>
      </c>
      <c r="J137" s="38">
        <f t="shared" ref="J137:N137" si="31">EXP(J130)/SUMPRODUCT(EXP($J130:$N130))
</f>
        <v>1</v>
      </c>
      <c r="K137" s="36">
        <f t="shared" si="31"/>
        <v>0</v>
      </c>
      <c r="L137" s="36">
        <f t="shared" si="31"/>
        <v>0</v>
      </c>
      <c r="M137" s="36">
        <f t="shared" si="31"/>
        <v>0</v>
      </c>
      <c r="N137" s="37">
        <f t="shared" si="31"/>
        <v>0</v>
      </c>
      <c r="O137" s="3"/>
      <c r="P137" s="31" t="str">
        <f>IFERROR(__xludf.DUMMYFUNCTION("SPARKLINE((J137-MIN($J137:$N137))/SUMPRODUCT($J137:$N137-MIN($J137:$N137)), {""charttype"",""bar""; ""max"",1; ""color1"",""#4285F4""})"),"")</f>
        <v/>
      </c>
      <c r="Q137" s="31" t="str">
        <f>IFERROR(__xludf.DUMMYFUNCTION("SPARKLINE((K137-MIN($J137:$N137))/SUMPRODUCT($J137:$N137-MIN($J137:$N137)), {""charttype"",""bar""; ""max"",1; ""color1"",""#4285F4""})"),"")</f>
        <v/>
      </c>
      <c r="R137" s="31" t="str">
        <f>IFERROR(__xludf.DUMMYFUNCTION("SPARKLINE((L137-MIN($J137:$N137))/SUMPRODUCT($J137:$N137-MIN($J137:$N137)), {""charttype"",""bar""; ""max"",1; ""color1"",""#4285F4""})"),"")</f>
        <v/>
      </c>
      <c r="S137" s="31" t="str">
        <f>IFERROR(__xludf.DUMMYFUNCTION("SPARKLINE((M137-MIN($J137:$N137))/SUMPRODUCT($J137:$N137-MIN($J137:$N137)), {""charttype"",""bar""; ""max"",1; ""color1"",""#4285F4""})"),"")</f>
        <v/>
      </c>
      <c r="T137" s="31" t="str">
        <f>IFERROR(__xludf.DUMMYFUNCTION("SPARKLINE((N137-MIN($J137:$N137))/SUMPRODUCT($J137:$N137-MIN($J137:$N137)), {""charttype"",""bar""; ""max"",1; ""color1"",""#4285F4""})"),"")</f>
        <v/>
      </c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B138" s="1"/>
      <c r="C138" s="2"/>
      <c r="D138" s="2"/>
      <c r="E138" s="2"/>
      <c r="F138" s="2"/>
      <c r="G138" s="2"/>
      <c r="H138" s="2"/>
      <c r="I138" s="34" t="s">
        <v>26</v>
      </c>
      <c r="J138" s="39">
        <f t="shared" ref="J138:N138" si="32">EXP(J131)/SUMPRODUCT(EXP($J131:$N131))
</f>
        <v>0.9033821823</v>
      </c>
      <c r="K138" s="40">
        <f t="shared" si="32"/>
        <v>0.09661781769</v>
      </c>
      <c r="L138" s="40">
        <f t="shared" si="32"/>
        <v>0</v>
      </c>
      <c r="M138" s="40">
        <f t="shared" si="32"/>
        <v>0</v>
      </c>
      <c r="N138" s="41">
        <f t="shared" si="32"/>
        <v>0</v>
      </c>
      <c r="O138" s="3"/>
      <c r="P138" s="31" t="str">
        <f>IFERROR(__xludf.DUMMYFUNCTION("SPARKLINE((J138-MIN($J138:$N138))/SUMPRODUCT($J138:$N138-MIN($J138:$N138)), {""charttype"",""bar""; ""max"",1; ""color1"",""#4285F4""})"),"")</f>
        <v/>
      </c>
      <c r="Q138" s="31" t="str">
        <f>IFERROR(__xludf.DUMMYFUNCTION("SPARKLINE((K138-MIN($J138:$N138))/SUMPRODUCT($J138:$N138-MIN($J138:$N138)), {""charttype"",""bar""; ""max"",1; ""color1"",""#4285F4""})"),"")</f>
        <v/>
      </c>
      <c r="R138" s="31" t="str">
        <f>IFERROR(__xludf.DUMMYFUNCTION("SPARKLINE((L138-MIN($J138:$N138))/SUMPRODUCT($J138:$N138-MIN($J138:$N138)), {""charttype"",""bar""; ""max"",1; ""color1"",""#4285F4""})"),"")</f>
        <v/>
      </c>
      <c r="S138" s="31" t="str">
        <f>IFERROR(__xludf.DUMMYFUNCTION("SPARKLINE((M138-MIN($J138:$N138))/SUMPRODUCT($J138:$N138-MIN($J138:$N138)), {""charttype"",""bar""; ""max"",1; ""color1"",""#4285F4""})"),"")</f>
        <v/>
      </c>
      <c r="T138" s="31" t="str">
        <f>IFERROR(__xludf.DUMMYFUNCTION("SPARKLINE((N138-MIN($J138:$N138))/SUMPRODUCT($J138:$N138-MIN($J138:$N138)), {""charttype"",""bar""; ""max"",1; ""color1"",""#4285F4""})"),"")</f>
        <v/>
      </c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B139" s="1"/>
      <c r="C139" s="2"/>
      <c r="D139" s="2"/>
      <c r="E139" s="2"/>
      <c r="F139" s="2"/>
      <c r="G139" s="2"/>
      <c r="H139" s="2"/>
      <c r="I139" s="42"/>
      <c r="J139" s="39">
        <f t="shared" ref="J139:N139" si="33">EXP(J132)/SUMPRODUCT(EXP($J132:$N132))
</f>
        <v>0.9156924826</v>
      </c>
      <c r="K139" s="40">
        <f t="shared" si="33"/>
        <v>0.05696586507</v>
      </c>
      <c r="L139" s="40">
        <f t="shared" si="33"/>
        <v>0.02734165231</v>
      </c>
      <c r="M139" s="40">
        <f t="shared" si="33"/>
        <v>0</v>
      </c>
      <c r="N139" s="41">
        <f t="shared" si="33"/>
        <v>0</v>
      </c>
      <c r="O139" s="3"/>
      <c r="P139" s="31" t="str">
        <f>IFERROR(__xludf.DUMMYFUNCTION("SPARKLINE((J139-MIN($J139:$N139))/SUMPRODUCT($J139:$N139-MIN($J139:$N139)), {""charttype"",""bar""; ""max"",1; ""color1"",""#4285F4""})"),"")</f>
        <v/>
      </c>
      <c r="Q139" s="31" t="str">
        <f>IFERROR(__xludf.DUMMYFUNCTION("SPARKLINE((K139-MIN($J139:$N139))/SUMPRODUCT($J139:$N139-MIN($J139:$N139)), {""charttype"",""bar""; ""max"",1; ""color1"",""#4285F4""})"),"")</f>
        <v/>
      </c>
      <c r="R139" s="31" t="str">
        <f>IFERROR(__xludf.DUMMYFUNCTION("SPARKLINE((L139-MIN($J139:$N139))/SUMPRODUCT($J139:$N139-MIN($J139:$N139)), {""charttype"",""bar""; ""max"",1; ""color1"",""#4285F4""})"),"")</f>
        <v/>
      </c>
      <c r="S139" s="31" t="str">
        <f>IFERROR(__xludf.DUMMYFUNCTION("SPARKLINE((M139-MIN($J139:$N139))/SUMPRODUCT($J139:$N139-MIN($J139:$N139)), {""charttype"",""bar""; ""max"",1; ""color1"",""#4285F4""})"),"")</f>
        <v/>
      </c>
      <c r="T139" s="31" t="str">
        <f>IFERROR(__xludf.DUMMYFUNCTION("SPARKLINE((N139-MIN($J139:$N139))/SUMPRODUCT($J139:$N139-MIN($J139:$N139)), {""charttype"",""bar""; ""max"",1; ""color1"",""#4285F4""})"),"")</f>
        <v/>
      </c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B140" s="1"/>
      <c r="C140" s="2"/>
      <c r="D140" s="2"/>
      <c r="E140" s="2"/>
      <c r="F140" s="2"/>
      <c r="G140" s="2"/>
      <c r="H140" s="2"/>
      <c r="I140" s="43"/>
      <c r="J140" s="39">
        <f t="shared" ref="J140:N140" si="34">EXP(J133)/SUMPRODUCT(EXP($J133:$N133))
</f>
        <v>0.0496865517</v>
      </c>
      <c r="K140" s="40">
        <f t="shared" si="34"/>
        <v>0.2118195327</v>
      </c>
      <c r="L140" s="40">
        <f t="shared" si="34"/>
        <v>0.2119965797</v>
      </c>
      <c r="M140" s="40">
        <f t="shared" si="34"/>
        <v>0.5264973358</v>
      </c>
      <c r="N140" s="41">
        <f t="shared" si="34"/>
        <v>0</v>
      </c>
      <c r="O140" s="3"/>
      <c r="P140" s="31" t="str">
        <f>IFERROR(__xludf.DUMMYFUNCTION("SPARKLINE((J140-MIN($J140:$N140))/SUMPRODUCT($J140:$N140-MIN($J140:$N140)), {""charttype"",""bar""; ""max"",1; ""color1"",""#4285F4""})"),"")</f>
        <v/>
      </c>
      <c r="Q140" s="31" t="str">
        <f>IFERROR(__xludf.DUMMYFUNCTION("SPARKLINE((K140-MIN($J140:$N140))/SUMPRODUCT($J140:$N140-MIN($J140:$N140)), {""charttype"",""bar""; ""max"",1; ""color1"",""#4285F4""})"),"")</f>
        <v/>
      </c>
      <c r="R140" s="31" t="str">
        <f>IFERROR(__xludf.DUMMYFUNCTION("SPARKLINE((L140-MIN($J140:$N140))/SUMPRODUCT($J140:$N140-MIN($J140:$N140)), {""charttype"",""bar""; ""max"",1; ""color1"",""#4285F4""})"),"")</f>
        <v/>
      </c>
      <c r="S140" s="31" t="str">
        <f>IFERROR(__xludf.DUMMYFUNCTION("SPARKLINE((M140-MIN($J140:$N140))/SUMPRODUCT($J140:$N140-MIN($J140:$N140)), {""charttype"",""bar""; ""max"",1; ""color1"",""#4285F4""})"),"")</f>
        <v/>
      </c>
      <c r="T140" s="31" t="str">
        <f>IFERROR(__xludf.DUMMYFUNCTION("SPARKLINE((N140-MIN($J140:$N140))/SUMPRODUCT($J140:$N140-MIN($J140:$N140)), {""charttype"",""bar""; ""max"",1; ""color1"",""#4285F4""})"),"")</f>
        <v/>
      </c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B141" s="1"/>
      <c r="C141" s="2"/>
      <c r="D141" s="2"/>
      <c r="E141" s="2"/>
      <c r="F141" s="2"/>
      <c r="G141" s="2"/>
      <c r="H141" s="2"/>
      <c r="I141" s="42"/>
      <c r="J141" s="44">
        <f t="shared" ref="J141:N141" si="35">EXP(J134)/SUMPRODUCT(EXP($J134:$N134))
</f>
        <v>0.341513416</v>
      </c>
      <c r="K141" s="45">
        <f t="shared" si="35"/>
        <v>0.1861787263</v>
      </c>
      <c r="L141" s="45">
        <f t="shared" si="35"/>
        <v>0.2406342371</v>
      </c>
      <c r="M141" s="45">
        <f t="shared" si="35"/>
        <v>0.1421182729</v>
      </c>
      <c r="N141" s="46">
        <f t="shared" si="35"/>
        <v>0.0895553477</v>
      </c>
      <c r="O141" s="3"/>
      <c r="P141" s="31" t="str">
        <f>IFERROR(__xludf.DUMMYFUNCTION("SPARKLINE((J141-MIN($J141:$N141))/SUMPRODUCT($J141:$N141-MIN($J141:$N141)), {""charttype"",""bar""; ""max"",1; ""color1"",""#4285F4""})"),"")</f>
        <v/>
      </c>
      <c r="Q141" s="31" t="str">
        <f>IFERROR(__xludf.DUMMYFUNCTION("SPARKLINE((K141-MIN($J141:$N141))/SUMPRODUCT($J141:$N141-MIN($J141:$N141)), {""charttype"",""bar""; ""max"",1; ""color1"",""#4285F4""})"),"")</f>
        <v/>
      </c>
      <c r="R141" s="31" t="str">
        <f>IFERROR(__xludf.DUMMYFUNCTION("SPARKLINE((L141-MIN($J141:$N141))/SUMPRODUCT($J141:$N141-MIN($J141:$N141)), {""charttype"",""bar""; ""max"",1; ""color1"",""#4285F4""})"),"")</f>
        <v/>
      </c>
      <c r="S141" s="31" t="str">
        <f>IFERROR(__xludf.DUMMYFUNCTION("SPARKLINE((M141-MIN($J141:$N141))/SUMPRODUCT($J141:$N141-MIN($J141:$N141)), {""charttype"",""bar""; ""max"",1; ""color1"",""#4285F4""})"),"")</f>
        <v/>
      </c>
      <c r="T141" s="31" t="str">
        <f>IFERROR(__xludf.DUMMYFUNCTION("SPARKLINE((N141-MIN($J141:$N141))/SUMPRODUCT($J141:$N141-MIN($J141:$N141)), {""charttype"",""bar""; ""max"",1; ""color1"",""#4285F4""})"),"")</f>
        <v/>
      </c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4" t="s">
        <v>32</v>
      </c>
      <c r="AA143" s="4"/>
      <c r="AB143" s="4"/>
      <c r="AC143" s="4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B149" s="1"/>
      <c r="C149" s="2"/>
      <c r="D149" s="2"/>
      <c r="E149" s="2"/>
      <c r="F149" s="2"/>
      <c r="G149" s="2"/>
      <c r="H149" s="2"/>
      <c r="I149" s="6" t="s">
        <v>15</v>
      </c>
      <c r="J149" s="7">
        <f t="array" ref="J149:N153">X70:AB74</f>
        <v>0.7476762441</v>
      </c>
      <c r="K149" s="8">
        <v>0.6035622957755831</v>
      </c>
      <c r="L149" s="8">
        <v>1.2942283279741125</v>
      </c>
      <c r="M149" s="8">
        <v>1.0014040607687742</v>
      </c>
      <c r="N149" s="9">
        <v>3.034012461698778</v>
      </c>
      <c r="O149" s="3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B150" s="1"/>
      <c r="C150" s="2"/>
      <c r="D150" s="2"/>
      <c r="E150" s="2"/>
      <c r="F150" s="2"/>
      <c r="G150" s="2"/>
      <c r="H150" s="2"/>
      <c r="I150" s="1"/>
      <c r="J150" s="11">
        <v>-1.1786221795046035</v>
      </c>
      <c r="K150" s="10">
        <v>-0.946514278252443</v>
      </c>
      <c r="L150" s="10">
        <v>-0.44464151525281614</v>
      </c>
      <c r="M150" s="10">
        <v>3.556021833241943</v>
      </c>
      <c r="N150" s="12">
        <v>2.606399105795539</v>
      </c>
      <c r="O150" s="3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B151" s="1"/>
      <c r="C151" s="2"/>
      <c r="D151" s="2"/>
      <c r="E151" s="2"/>
      <c r="F151" s="2"/>
      <c r="G151" s="2"/>
      <c r="H151" s="2"/>
      <c r="I151" s="1"/>
      <c r="J151" s="11">
        <v>1.4091848718801154</v>
      </c>
      <c r="K151" s="10">
        <v>0.747131264694752</v>
      </c>
      <c r="L151" s="10">
        <v>0.4395151804228149</v>
      </c>
      <c r="M151" s="10">
        <v>0.0461790099632787</v>
      </c>
      <c r="N151" s="12">
        <v>-0.045287383740249765</v>
      </c>
      <c r="O151" s="3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B152" s="1"/>
      <c r="C152" s="2"/>
      <c r="D152" s="2"/>
      <c r="E152" s="2"/>
      <c r="F152" s="2"/>
      <c r="G152" s="2"/>
      <c r="H152" s="2"/>
      <c r="I152" s="1"/>
      <c r="J152" s="11">
        <v>0.6206215556272835</v>
      </c>
      <c r="K152" s="10">
        <v>-0.2644655277127317</v>
      </c>
      <c r="L152" s="10">
        <v>-0.21114343207529163</v>
      </c>
      <c r="M152" s="10">
        <v>-4.2420286043382305</v>
      </c>
      <c r="N152" s="12">
        <v>-4.15747913630841</v>
      </c>
      <c r="O152" s="3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B153" s="1"/>
      <c r="C153" s="2"/>
      <c r="D153" s="2"/>
      <c r="E153" s="2"/>
      <c r="F153" s="2"/>
      <c r="G153" s="2"/>
      <c r="H153" s="2"/>
      <c r="I153" s="1"/>
      <c r="J153" s="13">
        <v>0.9600735814911102</v>
      </c>
      <c r="K153" s="14">
        <v>0.42459066023489384</v>
      </c>
      <c r="L153" s="14">
        <v>-0.6374468971924907</v>
      </c>
      <c r="M153" s="14">
        <v>-1.7622469871737436</v>
      </c>
      <c r="N153" s="15">
        <v>2.254515389822912</v>
      </c>
      <c r="O153" s="3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1" t="s">
        <v>3</v>
      </c>
      <c r="M154" s="2"/>
      <c r="N154" s="2"/>
      <c r="O154" s="3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1" t="s">
        <v>3</v>
      </c>
      <c r="M155" s="2"/>
      <c r="N155" s="2"/>
      <c r="O155" s="3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B156" s="34" t="s">
        <v>24</v>
      </c>
      <c r="C156" s="38">
        <f t="array" ref="C156:G160">J137:N141</f>
        <v>1</v>
      </c>
      <c r="D156" s="36">
        <v>1.6072347864534632E-45</v>
      </c>
      <c r="E156" s="36">
        <v>7.852802642824601E-46</v>
      </c>
      <c r="F156" s="36">
        <v>3.9578540904913906E-45</v>
      </c>
      <c r="G156" s="37">
        <v>1.0492792193559017E-43</v>
      </c>
      <c r="H156" s="2"/>
      <c r="I156" s="6" t="s">
        <v>33</v>
      </c>
      <c r="J156" s="7">
        <f t="array" ref="J156:N160">MMULT(J149:N153,C156:G160)</f>
        <v>3.563951093</v>
      </c>
      <c r="K156" s="8">
        <v>0.9090272242072568</v>
      </c>
      <c r="L156" s="8">
        <v>0.9777678507734252</v>
      </c>
      <c r="M156" s="8">
        <v>0.9584251811141931</v>
      </c>
      <c r="N156" s="9">
        <v>0.27171204092896106</v>
      </c>
      <c r="O156" s="3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B157" s="34" t="s">
        <v>26</v>
      </c>
      <c r="C157" s="39">
        <v>0.9033821823061332</v>
      </c>
      <c r="D157" s="40">
        <v>0.09661781769386672</v>
      </c>
      <c r="E157" s="40">
        <v>6.831442929619874E-45</v>
      </c>
      <c r="F157" s="40">
        <v>1.0911523891043855E-43</v>
      </c>
      <c r="G157" s="41">
        <v>2.6836947848068153E-43</v>
      </c>
      <c r="H157" s="2"/>
      <c r="I157" s="2"/>
      <c r="J157" s="11">
        <v>-1.3740344820512433</v>
      </c>
      <c r="K157" s="10">
        <v>1.1217114163957853</v>
      </c>
      <c r="L157" s="10">
        <v>1.36889609274906</v>
      </c>
      <c r="M157" s="10">
        <v>2.2426529607734853</v>
      </c>
      <c r="N157" s="12">
        <v>0.23341697816053184</v>
      </c>
      <c r="O157" s="3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B158" s="66" t="s">
        <v>35</v>
      </c>
      <c r="C158" s="39">
        <v>0.9156924826209859</v>
      </c>
      <c r="D158" s="40">
        <v>0.05696586506999208</v>
      </c>
      <c r="E158" s="40">
        <v>0.027341652309021962</v>
      </c>
      <c r="F158" s="40">
        <v>1.3876046327886547E-43</v>
      </c>
      <c r="G158" s="41">
        <v>7.317825157540566E-43</v>
      </c>
      <c r="H158" s="17" t="s">
        <v>7</v>
      </c>
      <c r="I158" s="17" t="s">
        <v>7</v>
      </c>
      <c r="J158" s="11">
        <v>2.4734189176045756</v>
      </c>
      <c r="K158" s="10">
        <v>0.09857362367797547</v>
      </c>
      <c r="L158" s="10">
        <v>0.01090916837999806</v>
      </c>
      <c r="M158" s="10">
        <v>0.017876960955375092</v>
      </c>
      <c r="N158" s="12">
        <v>-0.004055727397212643</v>
      </c>
      <c r="O158" s="3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B159" s="43"/>
      <c r="C159" s="39">
        <v>0.04968655170499163</v>
      </c>
      <c r="D159" s="40">
        <v>0.2118195327271214</v>
      </c>
      <c r="E159" s="40">
        <v>0.21199657973772007</v>
      </c>
      <c r="F159" s="40">
        <v>0.5264973358301669</v>
      </c>
      <c r="G159" s="41">
        <v>2.5165654743167567E-44</v>
      </c>
      <c r="H159" s="2"/>
      <c r="I159" s="2"/>
      <c r="J159" s="11">
        <v>-1.4422410187293533</v>
      </c>
      <c r="K159" s="10">
        <v>-1.7101587375795733</v>
      </c>
      <c r="L159" s="10">
        <v>-1.9055003857055755</v>
      </c>
      <c r="M159" s="10">
        <v>-2.824270513191594</v>
      </c>
      <c r="N159" s="12">
        <v>-0.37232448960128395</v>
      </c>
      <c r="O159" s="3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B160" s="42"/>
      <c r="C160" s="44">
        <v>0.34151341597780077</v>
      </c>
      <c r="D160" s="45">
        <v>0.18617872634136287</v>
      </c>
      <c r="E160" s="45">
        <v>0.24063423707700987</v>
      </c>
      <c r="F160" s="45">
        <v>0.14211827290534448</v>
      </c>
      <c r="G160" s="46">
        <v>0.0895553476984819</v>
      </c>
      <c r="H160" s="2"/>
      <c r="I160" s="2"/>
      <c r="J160" s="13">
        <v>1.4423231629994464</v>
      </c>
      <c r="K160" s="14">
        <v>0.051174779491652056</v>
      </c>
      <c r="L160" s="14">
        <v>0.1514944054459766</v>
      </c>
      <c r="M160" s="14">
        <v>-0.6074105103815626</v>
      </c>
      <c r="N160" s="15">
        <v>0.20190390962716936</v>
      </c>
      <c r="O160" s="3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4" t="s">
        <v>36</v>
      </c>
      <c r="AA162" s="4"/>
      <c r="AB162" s="4"/>
      <c r="AC162" s="4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I165" s="6" t="s">
        <v>4</v>
      </c>
      <c r="J165" s="7">
        <f t="array" ref="J165:N169">$C$19:$G$23</f>
        <v>-0.4905824713</v>
      </c>
      <c r="K165" s="8">
        <v>0.4343007717713063</v>
      </c>
      <c r="L165" s="8">
        <v>-0.6370828635674317</v>
      </c>
      <c r="M165" s="8">
        <v>-0.5452866282478033</v>
      </c>
      <c r="N165" s="9">
        <v>-0.44788044618692663</v>
      </c>
      <c r="O165" s="3"/>
      <c r="P165" s="6" t="s">
        <v>10</v>
      </c>
      <c r="Q165" s="7">
        <f t="array" ref="Q165:U169">$C$34:$G$38</f>
        <v>0.1099653612</v>
      </c>
      <c r="R165" s="8">
        <v>-1.011404355681003</v>
      </c>
      <c r="S165" s="8">
        <v>-0.8631611777837022</v>
      </c>
      <c r="T165" s="8">
        <v>-0.4494392792184767</v>
      </c>
      <c r="U165" s="9">
        <v>0.18656435622950301</v>
      </c>
      <c r="V165" s="2"/>
    </row>
    <row r="166">
      <c r="I166" s="1"/>
      <c r="J166" s="11">
        <v>-0.5769162733831503</v>
      </c>
      <c r="K166" s="10">
        <v>0.3862587448280457</v>
      </c>
      <c r="L166" s="10">
        <v>0.025357331291148463</v>
      </c>
      <c r="M166" s="10">
        <v>-0.743196068433992</v>
      </c>
      <c r="N166" s="12">
        <v>0.0819681175931389</v>
      </c>
      <c r="O166" s="3"/>
      <c r="P166" s="2"/>
      <c r="Q166" s="11">
        <v>-1.0548422575398255</v>
      </c>
      <c r="R166" s="10">
        <v>1.2145560931874688</v>
      </c>
      <c r="S166" s="10">
        <v>1.3445966915336198</v>
      </c>
      <c r="T166" s="10">
        <v>-0.47455764552829244</v>
      </c>
      <c r="U166" s="12">
        <v>1.1492687664530012</v>
      </c>
      <c r="V166" s="2"/>
    </row>
    <row r="167">
      <c r="I167" s="1"/>
      <c r="J167" s="11">
        <v>0.6305218991632041</v>
      </c>
      <c r="K167" s="10">
        <v>-1.6696517365878805</v>
      </c>
      <c r="L167" s="10">
        <v>-2.034821588375396</v>
      </c>
      <c r="M167" s="10">
        <v>0.5958095276373468</v>
      </c>
      <c r="N167" s="12">
        <v>0.27988761538409</v>
      </c>
      <c r="O167" s="3"/>
      <c r="P167" s="2"/>
      <c r="Q167" s="11">
        <v>0.14743072309990485</v>
      </c>
      <c r="R167" s="10">
        <v>0.3966264910264287</v>
      </c>
      <c r="S167" s="10">
        <v>0.5225253622966438</v>
      </c>
      <c r="T167" s="10">
        <v>0.23173706619856094</v>
      </c>
      <c r="U167" s="12">
        <v>0.6491296158189541</v>
      </c>
      <c r="V167" s="2"/>
    </row>
    <row r="168">
      <c r="I168" s="1"/>
      <c r="J168" s="11">
        <v>0.5304950596124317</v>
      </c>
      <c r="K168" s="10">
        <v>0.3654068566937146</v>
      </c>
      <c r="L168" s="10">
        <v>-0.7032462594139214</v>
      </c>
      <c r="M168" s="10">
        <v>0.7603596264526331</v>
      </c>
      <c r="N168" s="12">
        <v>1.278867209603269</v>
      </c>
      <c r="O168" s="3"/>
      <c r="P168" s="2"/>
      <c r="Q168" s="11">
        <v>-0.8693821413920705</v>
      </c>
      <c r="R168" s="10">
        <v>-0.2309889975406885</v>
      </c>
      <c r="S168" s="10">
        <v>0.05616340994834764</v>
      </c>
      <c r="T168" s="10">
        <v>-1.5832074622585581</v>
      </c>
      <c r="U168" s="12">
        <v>-1.5254061037614317</v>
      </c>
      <c r="V168" s="2"/>
    </row>
    <row r="169">
      <c r="I169" s="1"/>
      <c r="J169" s="13">
        <v>-0.5451481943734892</v>
      </c>
      <c r="K169" s="14">
        <v>-0.9993612130735938</v>
      </c>
      <c r="L169" s="14">
        <v>0.3424155974982494</v>
      </c>
      <c r="M169" s="14">
        <v>-0.42166317909648277</v>
      </c>
      <c r="N169" s="15">
        <v>-1.3079722780942233</v>
      </c>
      <c r="O169" s="3"/>
      <c r="P169" s="2"/>
      <c r="Q169" s="13">
        <v>1.0963536677664503</v>
      </c>
      <c r="R169" s="14">
        <v>1.2818494436381709</v>
      </c>
      <c r="S169" s="14">
        <v>1.0930203067384632</v>
      </c>
      <c r="T169" s="14">
        <v>-0.2768926527717556</v>
      </c>
      <c r="U169" s="15">
        <v>0.11324799355929627</v>
      </c>
      <c r="V169" s="2"/>
    </row>
    <row r="170">
      <c r="I170" s="1"/>
      <c r="J170" s="2"/>
      <c r="K170" s="2"/>
      <c r="L170" s="21" t="s">
        <v>3</v>
      </c>
      <c r="M170" s="2"/>
      <c r="N170" s="2"/>
      <c r="O170" s="3"/>
      <c r="P170" s="2"/>
      <c r="Q170" s="2"/>
      <c r="R170" s="2"/>
      <c r="S170" s="21" t="s">
        <v>3</v>
      </c>
      <c r="T170" s="2"/>
      <c r="U170" s="2"/>
      <c r="V170" s="2"/>
      <c r="W170" s="2"/>
      <c r="X170" s="2"/>
      <c r="Y170" s="2"/>
      <c r="AA170" s="2"/>
      <c r="AB170" s="2"/>
      <c r="AC170" s="2"/>
    </row>
    <row r="171">
      <c r="I171" s="1"/>
      <c r="J171" s="2"/>
      <c r="K171" s="2"/>
      <c r="L171" s="21" t="s">
        <v>3</v>
      </c>
      <c r="M171" s="2"/>
      <c r="N171" s="2"/>
      <c r="O171" s="3"/>
      <c r="P171" s="2"/>
      <c r="Q171" s="2"/>
      <c r="R171" s="2"/>
      <c r="S171" s="21" t="s">
        <v>3</v>
      </c>
      <c r="T171" s="2"/>
      <c r="U171" s="2"/>
      <c r="V171" s="2"/>
      <c r="W171" s="2"/>
      <c r="X171" s="2"/>
      <c r="Y171" s="2"/>
      <c r="AA171" s="2"/>
      <c r="AB171" s="2"/>
      <c r="AC171" s="2"/>
    </row>
    <row r="172">
      <c r="B172" s="6" t="s">
        <v>1</v>
      </c>
      <c r="C172" s="7">
        <f t="array" ref="C172:G176">$J$12:$N$16</f>
        <v>1.281387538</v>
      </c>
      <c r="D172" s="8">
        <v>0.7727707633570199</v>
      </c>
      <c r="E172" s="8">
        <v>1.4045051709836391</v>
      </c>
      <c r="F172" s="8">
        <v>-0.37451789563934873</v>
      </c>
      <c r="G172" s="9">
        <v>0.3345687974124911</v>
      </c>
      <c r="I172" s="6" t="s">
        <v>5</v>
      </c>
      <c r="J172" s="10">
        <f t="array" ref="J172:N176">MMULT(J165:N169,C172:G176)</f>
        <v>-2.059803675</v>
      </c>
      <c r="K172" s="10">
        <v>-1.1887826384576092</v>
      </c>
      <c r="L172" s="10">
        <v>-0.966490290675394</v>
      </c>
      <c r="M172" s="10">
        <v>-0.2604662858946342</v>
      </c>
      <c r="N172" s="10">
        <v>-2.2426766306070536</v>
      </c>
      <c r="O172" s="3"/>
      <c r="P172" s="6" t="s">
        <v>11</v>
      </c>
      <c r="Q172" s="10">
        <f t="array" ref="Q172:U176">MMULT(Q165:U169,C172:G176)</f>
        <v>-0.9702905599</v>
      </c>
      <c r="R172" s="10">
        <v>-0.31857316197993646</v>
      </c>
      <c r="S172" s="10">
        <v>-0.4317828588640095</v>
      </c>
      <c r="T172" s="10">
        <v>-0.16435957443218363</v>
      </c>
      <c r="U172" s="10">
        <v>1.3093836691276548</v>
      </c>
      <c r="V172" s="2"/>
    </row>
    <row r="173">
      <c r="B173" s="6" t="s">
        <v>2</v>
      </c>
      <c r="C173" s="11">
        <v>-0.49838695956324863</v>
      </c>
      <c r="D173" s="10">
        <v>-0.002812685085030789</v>
      </c>
      <c r="E173" s="10">
        <v>0.4268287669775717</v>
      </c>
      <c r="F173" s="10">
        <v>-0.16487719908617207</v>
      </c>
      <c r="G173" s="12">
        <v>-2.072407618559388</v>
      </c>
      <c r="I173" s="1"/>
      <c r="J173" s="10">
        <v>-2.378033807295456</v>
      </c>
      <c r="K173" s="10">
        <v>-0.9138013688021591</v>
      </c>
      <c r="L173" s="10">
        <v>-0.4156737333842953</v>
      </c>
      <c r="M173" s="10">
        <v>0.9319473124862125</v>
      </c>
      <c r="N173" s="10">
        <v>-1.810376035700639</v>
      </c>
      <c r="O173" s="3"/>
      <c r="P173" s="1"/>
      <c r="Q173" s="10">
        <v>-2.6135940024111455</v>
      </c>
      <c r="R173" s="10">
        <v>-0.13139945690025134</v>
      </c>
      <c r="S173" s="10">
        <v>0.5085128255266107</v>
      </c>
      <c r="T173" s="10">
        <v>2.6479875014620733</v>
      </c>
      <c r="U173" s="10">
        <v>-2.181264580412378</v>
      </c>
      <c r="V173" s="2"/>
    </row>
    <row r="174">
      <c r="B174" s="1"/>
      <c r="C174" s="11">
        <v>0.7410793146158806</v>
      </c>
      <c r="D174" s="10">
        <v>0.23659726372662718</v>
      </c>
      <c r="E174" s="10">
        <v>0.4394275980216046</v>
      </c>
      <c r="F174" s="10">
        <v>0.9628273434122897</v>
      </c>
      <c r="G174" s="12">
        <v>0.4601787007338566</v>
      </c>
      <c r="H174" s="21" t="s">
        <v>7</v>
      </c>
      <c r="I174" s="21"/>
      <c r="J174" s="10">
        <v>1.0805552740285753</v>
      </c>
      <c r="K174" s="10">
        <v>0.6010268817371652</v>
      </c>
      <c r="L174" s="10">
        <v>-0.6629648263893625</v>
      </c>
      <c r="M174" s="10">
        <v>-2.3123306537131016</v>
      </c>
      <c r="N174" s="10">
        <v>3.5877239248307693</v>
      </c>
      <c r="O174" s="3"/>
      <c r="P174" s="1"/>
      <c r="Q174" s="10">
        <v>0.3939447416719561</v>
      </c>
      <c r="R174" s="10">
        <v>0.7966058676714558</v>
      </c>
      <c r="S174" s="10">
        <v>0.9936992983594386</v>
      </c>
      <c r="T174" s="10">
        <v>0.5630451091837663</v>
      </c>
      <c r="U174" s="10">
        <v>0.09458881174265121</v>
      </c>
      <c r="V174" s="2"/>
    </row>
    <row r="175">
      <c r="B175" s="1"/>
      <c r="C175" s="11">
        <v>1.8991564417143434</v>
      </c>
      <c r="D175" s="10">
        <v>0.7037587679130394</v>
      </c>
      <c r="E175" s="10">
        <v>-0.2196093992482537</v>
      </c>
      <c r="F175" s="10">
        <v>-0.9480810505105399</v>
      </c>
      <c r="G175" s="12">
        <v>1.175062763272059</v>
      </c>
      <c r="I175" s="1"/>
      <c r="J175" s="10">
        <v>0.5839511633110179</v>
      </c>
      <c r="K175" s="10">
        <v>1.5599371770142052</v>
      </c>
      <c r="L175" s="10">
        <v>1.2891781174505526</v>
      </c>
      <c r="M175" s="10">
        <v>-0.8683536589960245</v>
      </c>
      <c r="N175" s="10">
        <v>0.6884253812332344</v>
      </c>
      <c r="O175" s="3"/>
      <c r="P175" s="1"/>
      <c r="Q175" s="10">
        <v>-2.966169277474871</v>
      </c>
      <c r="R175" s="10">
        <v>-2.705190920097378</v>
      </c>
      <c r="S175" s="10">
        <v>-1.9780018493653624</v>
      </c>
      <c r="T175" s="10">
        <v>0.9781898237566552</v>
      </c>
      <c r="U175" s="10">
        <v>-2.4796756315833335</v>
      </c>
      <c r="V175" s="2"/>
    </row>
    <row r="176">
      <c r="B176" s="1"/>
      <c r="C176" s="13">
        <v>-0.654161122344408</v>
      </c>
      <c r="D176" s="14">
        <v>0.6117056252611617</v>
      </c>
      <c r="E176" s="14">
        <v>0.6757049002716943</v>
      </c>
      <c r="F176" s="14">
        <v>0.61660879928997</v>
      </c>
      <c r="G176" s="15">
        <v>0.5460761694101726</v>
      </c>
      <c r="I176" s="1"/>
      <c r="J176" s="10">
        <v>0.10809988102539725</v>
      </c>
      <c r="K176" s="10">
        <v>-1.4342922640958569</v>
      </c>
      <c r="L176" s="10">
        <v>-1.8329547890388942</v>
      </c>
      <c r="M176" s="10">
        <v>0.2918903862366159</v>
      </c>
      <c r="N176" s="10">
        <v>0.8365333889155054</v>
      </c>
      <c r="O176" s="3"/>
      <c r="P176" s="1"/>
      <c r="Q176" s="10">
        <v>0.9760667198289665</v>
      </c>
      <c r="R176" s="10">
        <v>0.9766390382606689</v>
      </c>
      <c r="S176" s="10">
        <v>2.70459835438816</v>
      </c>
      <c r="T176" s="10">
        <v>0.7627844102361706</v>
      </c>
      <c r="U176" s="10">
        <v>-2.0502483752272966</v>
      </c>
      <c r="V176" s="2"/>
    </row>
    <row r="177">
      <c r="N177" s="21" t="s">
        <v>3</v>
      </c>
      <c r="O177" s="3"/>
      <c r="R177" s="67" t="s">
        <v>3</v>
      </c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N178" s="21" t="s">
        <v>3</v>
      </c>
      <c r="O178" s="3"/>
      <c r="P178" s="2"/>
      <c r="Q178" s="2"/>
      <c r="R178" s="67" t="s">
        <v>3</v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B179" s="6"/>
      <c r="C179" s="21"/>
      <c r="D179" s="21"/>
      <c r="E179" s="21"/>
      <c r="F179" s="21"/>
      <c r="G179" s="21"/>
      <c r="I179" s="2"/>
      <c r="J179" s="2"/>
      <c r="K179" s="2"/>
      <c r="M179" s="68" t="s">
        <v>22</v>
      </c>
      <c r="N179" s="69">
        <f t="array" ref="N179:R183">MMULT(TRANSPOSE(Q172:U176),J172:N176) / 5^0.5</f>
        <v>3.136271702</v>
      </c>
      <c r="O179" s="70">
        <v>-1.0055423041546756</v>
      </c>
      <c r="P179" s="71">
        <v>-1.721772082928029</v>
      </c>
      <c r="Q179" s="72">
        <v>-0.10435550052688751</v>
      </c>
      <c r="R179" s="73">
        <v>3.173216174107394</v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B180" s="6"/>
      <c r="C180" s="21"/>
      <c r="D180" s="21"/>
      <c r="E180" s="21"/>
      <c r="F180" s="21"/>
      <c r="G180" s="21"/>
      <c r="I180" s="2"/>
      <c r="J180" s="2"/>
      <c r="K180" s="2"/>
      <c r="M180" s="74"/>
      <c r="N180" s="75">
        <v>0.15890499524823276</v>
      </c>
      <c r="O180" s="76">
        <v>-2.076477532462311</v>
      </c>
      <c r="P180" s="77">
        <v>-2.4342786958416607</v>
      </c>
      <c r="Q180" s="78">
        <v>0.3365899508584913</v>
      </c>
      <c r="R180" s="79">
        <v>1.2365500714924775</v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B181" s="6"/>
      <c r="C181" s="21"/>
      <c r="D181" s="21"/>
      <c r="E181" s="21"/>
      <c r="F181" s="21"/>
      <c r="G181" s="21"/>
      <c r="I181" s="2"/>
      <c r="J181" s="2"/>
      <c r="K181" s="2"/>
      <c r="M181" s="74"/>
      <c r="N181" s="80">
        <v>-0.04866375935951803</v>
      </c>
      <c r="O181" s="81">
        <v>-2.8258921199791467</v>
      </c>
      <c r="P181" s="82">
        <v>-3.559933084945848</v>
      </c>
      <c r="Q181" s="83">
        <v>0.3558309050470294</v>
      </c>
      <c r="R181" s="84">
        <v>2.0185651044347948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B182" s="6"/>
      <c r="C182" s="21"/>
      <c r="D182" s="21"/>
      <c r="E182" s="21"/>
      <c r="F182" s="21"/>
      <c r="G182" s="21"/>
      <c r="I182" s="2"/>
      <c r="J182" s="2"/>
      <c r="K182" s="2"/>
      <c r="M182" s="43"/>
      <c r="N182" s="85">
        <v>-2.100285876726505</v>
      </c>
      <c r="O182" s="86">
        <v>-0.6502855323536456</v>
      </c>
      <c r="P182" s="87">
        <v>-0.6494500425471451</v>
      </c>
      <c r="Q182" s="72">
        <v>0.2602260876332248</v>
      </c>
      <c r="R182" s="88">
        <v>-0.4891139316285818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B183" s="6"/>
      <c r="C183" s="21"/>
      <c r="D183" s="21"/>
      <c r="E183" s="21"/>
      <c r="F183" s="21"/>
      <c r="G183" s="21"/>
      <c r="I183" s="2"/>
      <c r="J183" s="2"/>
      <c r="K183" s="2"/>
      <c r="M183" s="74"/>
      <c r="N183" s="89">
        <v>0.4126059648069359</v>
      </c>
      <c r="O183" s="90">
        <v>-0.19407389221418359</v>
      </c>
      <c r="P183" s="91">
        <v>0.06249709328538707</v>
      </c>
      <c r="Q183" s="92">
        <v>-0.46412138016220134</v>
      </c>
      <c r="R183" s="93">
        <v>-0.9259241546893534</v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B184" s="6"/>
      <c r="C184" s="21"/>
      <c r="D184" s="21"/>
      <c r="E184" s="21"/>
      <c r="F184" s="21"/>
      <c r="G184" s="21"/>
      <c r="I184" s="2"/>
      <c r="J184" s="2"/>
      <c r="K184" s="2"/>
      <c r="M184" s="74"/>
      <c r="N184" s="94"/>
      <c r="O184" s="95"/>
      <c r="P184" s="43" t="s">
        <v>3</v>
      </c>
      <c r="Q184" s="94"/>
      <c r="R184" s="94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B185" s="6"/>
      <c r="C185" s="21"/>
      <c r="D185" s="21"/>
      <c r="E185" s="21"/>
      <c r="F185" s="21"/>
      <c r="G185" s="21"/>
      <c r="I185" s="2"/>
      <c r="J185" s="2"/>
      <c r="K185" s="2"/>
      <c r="M185" s="74"/>
      <c r="N185" s="94"/>
      <c r="O185" s="95"/>
      <c r="P185" s="43" t="s">
        <v>3</v>
      </c>
      <c r="Q185" s="94"/>
      <c r="R185" s="94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D186" s="34" t="s">
        <v>28</v>
      </c>
      <c r="E186" s="49">
        <v>0.0</v>
      </c>
      <c r="F186" s="50">
        <v>-99.0</v>
      </c>
      <c r="G186" s="50">
        <v>-99.0</v>
      </c>
      <c r="H186" s="50">
        <v>-99.0</v>
      </c>
      <c r="I186" s="51">
        <v>-99.0</v>
      </c>
      <c r="J186" s="42"/>
      <c r="K186" s="42"/>
      <c r="M186" s="34" t="s">
        <v>37</v>
      </c>
      <c r="N186" s="96">
        <f t="shared" ref="N186:R186" si="36">EXP(N179+E186)/SUMPRODUCT(EXP($N179:$R179+$E186:$I186))
</f>
        <v>1</v>
      </c>
      <c r="O186" s="96">
        <f t="shared" si="36"/>
        <v>0</v>
      </c>
      <c r="P186" s="96">
        <f t="shared" si="36"/>
        <v>0</v>
      </c>
      <c r="Q186" s="96">
        <f t="shared" si="36"/>
        <v>0</v>
      </c>
      <c r="R186" s="96">
        <f t="shared" si="36"/>
        <v>0</v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D187" s="34" t="s">
        <v>31</v>
      </c>
      <c r="E187" s="55">
        <v>0.0</v>
      </c>
      <c r="F187" s="56">
        <v>0.0</v>
      </c>
      <c r="G187" s="57">
        <v>-99.0</v>
      </c>
      <c r="H187" s="57">
        <v>-99.0</v>
      </c>
      <c r="I187" s="58">
        <v>-99.0</v>
      </c>
      <c r="J187" s="42"/>
      <c r="K187" s="42"/>
      <c r="M187" s="34" t="s">
        <v>35</v>
      </c>
      <c r="N187" s="96">
        <f t="shared" ref="N187:R187" si="37">EXP(N180+E187)/SUMPRODUCT(EXP($N180:$R180+$E187:$I187))
</f>
        <v>0.9033821823</v>
      </c>
      <c r="O187" s="96">
        <f t="shared" si="37"/>
        <v>0.09661781769</v>
      </c>
      <c r="P187" s="96">
        <f t="shared" si="37"/>
        <v>0</v>
      </c>
      <c r="Q187" s="96">
        <f t="shared" si="37"/>
        <v>0</v>
      </c>
      <c r="R187" s="96">
        <f t="shared" si="37"/>
        <v>0</v>
      </c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D188" s="1"/>
      <c r="E188" s="55">
        <v>0.0</v>
      </c>
      <c r="F188" s="56">
        <v>0.0</v>
      </c>
      <c r="G188" s="56">
        <v>0.0</v>
      </c>
      <c r="H188" s="57">
        <v>-99.0</v>
      </c>
      <c r="I188" s="58">
        <v>-99.0</v>
      </c>
      <c r="J188" s="67" t="s">
        <v>7</v>
      </c>
      <c r="K188" s="67" t="s">
        <v>7</v>
      </c>
      <c r="L188" s="67" t="s">
        <v>7</v>
      </c>
      <c r="M188" s="67" t="s">
        <v>7</v>
      </c>
      <c r="N188" s="96">
        <f t="shared" ref="N188:R188" si="38">EXP(N181+E188)/SUMPRODUCT(EXP($N181:$R181+$E188:$I188))
</f>
        <v>0.9156924826</v>
      </c>
      <c r="O188" s="96">
        <f t="shared" si="38"/>
        <v>0.05696586507</v>
      </c>
      <c r="P188" s="96">
        <f t="shared" si="38"/>
        <v>0.02734165231</v>
      </c>
      <c r="Q188" s="96">
        <f t="shared" si="38"/>
        <v>0</v>
      </c>
      <c r="R188" s="96">
        <f t="shared" si="38"/>
        <v>0</v>
      </c>
      <c r="S188" s="2"/>
      <c r="T188" s="2"/>
      <c r="U188" s="2"/>
      <c r="V188" s="21"/>
      <c r="W188" s="2"/>
      <c r="X188" s="2"/>
      <c r="Y188" s="2"/>
      <c r="Z188" s="2"/>
      <c r="AA188" s="2"/>
      <c r="AB188" s="2"/>
      <c r="AC188" s="2"/>
    </row>
    <row r="189">
      <c r="D189" s="1"/>
      <c r="E189" s="55">
        <v>0.0</v>
      </c>
      <c r="F189" s="56">
        <v>0.0</v>
      </c>
      <c r="G189" s="56">
        <v>0.0</v>
      </c>
      <c r="H189" s="56">
        <v>0.0</v>
      </c>
      <c r="I189" s="58">
        <v>-99.0</v>
      </c>
      <c r="J189" s="2"/>
      <c r="K189" s="2"/>
      <c r="M189" s="94"/>
      <c r="N189" s="96">
        <f t="shared" ref="N189:R189" si="39">EXP(N182+E189)/SUMPRODUCT(EXP($N182:$R182+$E189:$I189))
</f>
        <v>0.0496865517</v>
      </c>
      <c r="O189" s="96">
        <f t="shared" si="39"/>
        <v>0.2118195327</v>
      </c>
      <c r="P189" s="96">
        <f t="shared" si="39"/>
        <v>0.2119965797</v>
      </c>
      <c r="Q189" s="96">
        <f t="shared" si="39"/>
        <v>0.5264973358</v>
      </c>
      <c r="R189" s="96">
        <f t="shared" si="39"/>
        <v>0</v>
      </c>
      <c r="S189" s="2"/>
      <c r="T189" s="2"/>
      <c r="U189" s="21"/>
      <c r="V189" s="2"/>
      <c r="W189" s="2"/>
      <c r="X189" s="2"/>
      <c r="Y189" s="2"/>
      <c r="Z189" s="2"/>
      <c r="AA189" s="2"/>
      <c r="AB189" s="2"/>
      <c r="AC189" s="2"/>
    </row>
    <row r="190">
      <c r="D190" s="1"/>
      <c r="E190" s="62">
        <v>0.0</v>
      </c>
      <c r="F190" s="63">
        <v>0.0</v>
      </c>
      <c r="G190" s="63">
        <v>0.0</v>
      </c>
      <c r="H190" s="63">
        <v>0.0</v>
      </c>
      <c r="I190" s="64">
        <v>0.0</v>
      </c>
      <c r="J190" s="2"/>
      <c r="K190" s="2"/>
      <c r="M190" s="42"/>
      <c r="N190" s="96">
        <f t="shared" ref="N190:R190" si="40">EXP(N183+E190)/SUMPRODUCT(EXP($N183:$R183+$E190:$I190))
</f>
        <v>0.341513416</v>
      </c>
      <c r="O190" s="96">
        <f t="shared" si="40"/>
        <v>0.1861787263</v>
      </c>
      <c r="P190" s="96">
        <f t="shared" si="40"/>
        <v>0.2406342371</v>
      </c>
      <c r="Q190" s="96">
        <f t="shared" si="40"/>
        <v>0.1421182729</v>
      </c>
      <c r="R190" s="96">
        <f t="shared" si="40"/>
        <v>0.0895553477</v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M191" s="42"/>
      <c r="N191" s="42"/>
      <c r="O191" s="97"/>
      <c r="P191" s="42"/>
      <c r="Q191" s="98" t="s">
        <v>3</v>
      </c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M192" s="42"/>
      <c r="N192" s="42"/>
      <c r="O192" s="97"/>
      <c r="P192" s="42"/>
      <c r="Q192" s="98" t="s">
        <v>3</v>
      </c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</row>
    <row r="193">
      <c r="B193" s="6" t="s">
        <v>14</v>
      </c>
      <c r="C193" s="7">
        <f t="array" ref="C193:G197">$C$49:$G$53</f>
        <v>1.017720724</v>
      </c>
      <c r="D193" s="8">
        <v>-1.5254056309706951</v>
      </c>
      <c r="E193" s="8">
        <v>0.2761727321647903</v>
      </c>
      <c r="F193" s="8">
        <v>-0.6755470823571597</v>
      </c>
      <c r="G193" s="9">
        <v>0.36437045873036217</v>
      </c>
      <c r="H193" s="6" t="s">
        <v>15</v>
      </c>
      <c r="I193" s="10">
        <f t="array" ref="I193:M197">MMULT(C193:G197,C172:G176)</f>
        <v>0.7476762441</v>
      </c>
      <c r="J193" s="10">
        <v>0.6035622957755831</v>
      </c>
      <c r="K193" s="10">
        <v>1.2942283279741125</v>
      </c>
      <c r="L193" s="10">
        <v>1.0014040607687742</v>
      </c>
      <c r="M193" s="10">
        <v>3.034012461698778</v>
      </c>
      <c r="O193" s="129" t="s">
        <v>38</v>
      </c>
      <c r="P193" s="10">
        <f t="array" ref="P193:T197">MMULT(I193:M197,N186:R190)</f>
        <v>3.563951093</v>
      </c>
      <c r="Q193" s="10">
        <v>0.9090272242072568</v>
      </c>
      <c r="R193" s="10">
        <v>0.9777678507734252</v>
      </c>
      <c r="S193" s="10">
        <v>0.9584251811141931</v>
      </c>
      <c r="T193" s="10">
        <v>0.27171204092896106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B194" s="2"/>
      <c r="C194" s="11">
        <v>-0.6015626409137805</v>
      </c>
      <c r="D194" s="10">
        <v>-1.702779727679448</v>
      </c>
      <c r="E194" s="10">
        <v>1.805634033002903</v>
      </c>
      <c r="F194" s="10">
        <v>-1.346879852821713</v>
      </c>
      <c r="G194" s="12">
        <v>0.05596939551496417</v>
      </c>
      <c r="H194" s="1"/>
      <c r="I194" s="10">
        <v>-1.1786221795046035</v>
      </c>
      <c r="J194" s="10">
        <v>-0.946514278252443</v>
      </c>
      <c r="K194" s="10">
        <v>-0.44464151525281614</v>
      </c>
      <c r="L194" s="10">
        <v>3.556021833241943</v>
      </c>
      <c r="M194" s="10">
        <v>2.606399105795539</v>
      </c>
      <c r="O194" s="129" t="s">
        <v>39</v>
      </c>
      <c r="P194" s="10">
        <v>-1.3740344820512433</v>
      </c>
      <c r="Q194" s="10">
        <v>1.1217114163957853</v>
      </c>
      <c r="R194" s="10">
        <v>1.36889609274906</v>
      </c>
      <c r="S194" s="10">
        <v>2.2426529607734853</v>
      </c>
      <c r="T194" s="10">
        <v>0.23341697816053184</v>
      </c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B195" s="2"/>
      <c r="C195" s="11">
        <v>-0.08900160482753756</v>
      </c>
      <c r="D195" s="10">
        <v>0.6460292124075401</v>
      </c>
      <c r="E195" s="10">
        <v>0.7394087038578745</v>
      </c>
      <c r="F195" s="10">
        <v>0.7484234300341129</v>
      </c>
      <c r="G195" s="12">
        <v>0.18975557462222262</v>
      </c>
      <c r="H195" s="67" t="s">
        <v>7</v>
      </c>
      <c r="I195" s="10">
        <v>1.4091848718801154</v>
      </c>
      <c r="J195" s="10">
        <v>0.747131264694752</v>
      </c>
      <c r="K195" s="10">
        <v>0.4395151804228149</v>
      </c>
      <c r="L195" s="10">
        <v>0.0461790099632787</v>
      </c>
      <c r="M195" s="10">
        <v>-0.045287383740249765</v>
      </c>
      <c r="N195" s="67" t="s">
        <v>7</v>
      </c>
      <c r="O195" s="97" t="s">
        <v>7</v>
      </c>
      <c r="P195" s="10">
        <v>2.4734189176045756</v>
      </c>
      <c r="Q195" s="10">
        <v>0.09857362367797547</v>
      </c>
      <c r="R195" s="10">
        <v>0.01090916837999806</v>
      </c>
      <c r="S195" s="10">
        <v>0.017876960955375092</v>
      </c>
      <c r="T195" s="10">
        <v>-0.004055727397212643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B196" s="2"/>
      <c r="C196" s="11">
        <v>0.8071614613635643</v>
      </c>
      <c r="D196" s="10">
        <v>1.653589123239663</v>
      </c>
      <c r="E196" s="10">
        <v>-2.3114388053379797</v>
      </c>
      <c r="F196" s="10">
        <v>0.6649806260395618</v>
      </c>
      <c r="G196" s="12">
        <v>-1.3154548480879227</v>
      </c>
      <c r="H196" s="1"/>
      <c r="I196" s="10">
        <v>0.6206215556272835</v>
      </c>
      <c r="J196" s="10">
        <v>-0.2644655277127317</v>
      </c>
      <c r="K196" s="10">
        <v>-0.21114343207529163</v>
      </c>
      <c r="L196" s="10">
        <v>-4.2420286043382305</v>
      </c>
      <c r="M196" s="10">
        <v>-4.15747913630841</v>
      </c>
      <c r="O196" s="3"/>
      <c r="P196" s="10">
        <v>-1.4422410187293533</v>
      </c>
      <c r="Q196" s="10">
        <v>-1.7101587375795733</v>
      </c>
      <c r="R196" s="10">
        <v>-1.9055003857055755</v>
      </c>
      <c r="S196" s="10">
        <v>-2.824270513191594</v>
      </c>
      <c r="T196" s="10">
        <v>-0.37232448960128395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B197" s="2"/>
      <c r="C197" s="13">
        <v>0.29569627236550067</v>
      </c>
      <c r="D197" s="14">
        <v>-0.9542595264708672</v>
      </c>
      <c r="E197" s="14">
        <v>-1.3439323849220393</v>
      </c>
      <c r="F197" s="14">
        <v>0.6216271466626656</v>
      </c>
      <c r="G197" s="15">
        <v>0.12080380104043854</v>
      </c>
      <c r="H197" s="1"/>
      <c r="I197" s="10">
        <v>0.9600735814911102</v>
      </c>
      <c r="J197" s="10">
        <v>0.42459066023489384</v>
      </c>
      <c r="K197" s="10">
        <v>-0.6374468971924907</v>
      </c>
      <c r="L197" s="10">
        <v>-1.7622469871737436</v>
      </c>
      <c r="M197" s="10">
        <v>2.254515389822912</v>
      </c>
      <c r="O197" s="3"/>
      <c r="P197" s="10">
        <v>1.4423231629994464</v>
      </c>
      <c r="Q197" s="10">
        <v>0.051174779491652056</v>
      </c>
      <c r="R197" s="10">
        <v>0.1514944054459766</v>
      </c>
      <c r="S197" s="10">
        <v>-0.6074105103815626</v>
      </c>
      <c r="T197" s="10">
        <v>0.20190390962716936</v>
      </c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4" t="s">
        <v>40</v>
      </c>
      <c r="AA199" s="4"/>
      <c r="AB199" s="4"/>
      <c r="AC199" s="4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B201" s="1"/>
      <c r="C201" s="2"/>
      <c r="D201" s="2"/>
      <c r="E201" s="2"/>
      <c r="F201" s="2"/>
      <c r="G201" s="2"/>
      <c r="H201" s="2"/>
      <c r="L201" s="6" t="s">
        <v>1</v>
      </c>
      <c r="M201" s="7">
        <f t="array" ref="M201:Q205">$J$12:$N$16</f>
        <v>1.281387538</v>
      </c>
      <c r="N201" s="8">
        <v>0.7727707633570199</v>
      </c>
      <c r="O201" s="8">
        <v>1.4045051709836391</v>
      </c>
      <c r="P201" s="8">
        <v>-0.37451789563934873</v>
      </c>
      <c r="Q201" s="9">
        <v>0.3345687974124911</v>
      </c>
      <c r="U201" s="2"/>
      <c r="X201" s="34" t="s">
        <v>28</v>
      </c>
      <c r="Y201" s="49">
        <v>0.0</v>
      </c>
      <c r="Z201" s="50">
        <v>-99.0</v>
      </c>
      <c r="AA201" s="50">
        <v>-99.0</v>
      </c>
      <c r="AB201" s="50">
        <v>-99.0</v>
      </c>
      <c r="AC201" s="51">
        <v>-99.0</v>
      </c>
    </row>
    <row r="202">
      <c r="B202" s="1"/>
      <c r="C202" s="2"/>
      <c r="D202" s="2"/>
      <c r="E202" s="2"/>
      <c r="F202" s="2"/>
      <c r="G202" s="2"/>
      <c r="H202" s="2"/>
      <c r="L202" s="6" t="s">
        <v>2</v>
      </c>
      <c r="M202" s="11">
        <v>-0.49838695956324863</v>
      </c>
      <c r="N202" s="10">
        <v>-0.002812685085030789</v>
      </c>
      <c r="O202" s="10">
        <v>0.4268287669775717</v>
      </c>
      <c r="P202" s="10">
        <v>-0.16487719908617207</v>
      </c>
      <c r="Q202" s="12">
        <v>-2.072407618559388</v>
      </c>
      <c r="U202" s="2"/>
      <c r="X202" s="34" t="s">
        <v>31</v>
      </c>
      <c r="Y202" s="55">
        <v>0.0</v>
      </c>
      <c r="Z202" s="56">
        <v>0.0</v>
      </c>
      <c r="AA202" s="57">
        <v>-99.0</v>
      </c>
      <c r="AB202" s="57">
        <v>-99.0</v>
      </c>
      <c r="AC202" s="58">
        <v>-99.0</v>
      </c>
    </row>
    <row r="203">
      <c r="B203" s="1"/>
      <c r="C203" s="2"/>
      <c r="D203" s="2"/>
      <c r="E203" s="2"/>
      <c r="F203" s="2"/>
      <c r="G203" s="2"/>
      <c r="H203" s="2"/>
      <c r="I203" s="99" t="s">
        <v>41</v>
      </c>
      <c r="J203" s="99" t="s">
        <v>41</v>
      </c>
      <c r="K203" s="99" t="s">
        <v>41</v>
      </c>
      <c r="L203" s="99" t="s">
        <v>41</v>
      </c>
      <c r="M203" s="11">
        <v>0.7410793146158806</v>
      </c>
      <c r="N203" s="10">
        <v>0.23659726372662718</v>
      </c>
      <c r="O203" s="10">
        <v>0.4394275980216046</v>
      </c>
      <c r="P203" s="10">
        <v>0.9628273434122897</v>
      </c>
      <c r="Q203" s="12">
        <v>0.4601787007338566</v>
      </c>
      <c r="R203" s="100" t="s">
        <v>7</v>
      </c>
      <c r="S203" s="100" t="s">
        <v>7</v>
      </c>
      <c r="T203" s="100" t="s">
        <v>7</v>
      </c>
      <c r="U203" s="100" t="s">
        <v>7</v>
      </c>
      <c r="X203" s="42"/>
      <c r="Y203" s="55">
        <v>0.0</v>
      </c>
      <c r="Z203" s="56">
        <v>0.0</v>
      </c>
      <c r="AA203" s="56">
        <v>0.0</v>
      </c>
      <c r="AB203" s="57">
        <v>-99.0</v>
      </c>
      <c r="AC203" s="58">
        <v>-99.0</v>
      </c>
    </row>
    <row r="204">
      <c r="B204" s="1"/>
      <c r="C204" s="2"/>
      <c r="D204" s="2"/>
      <c r="E204" s="2"/>
      <c r="F204" s="2"/>
      <c r="G204" s="2"/>
      <c r="H204" s="2"/>
      <c r="I204" s="21" t="s">
        <v>3</v>
      </c>
      <c r="L204" s="1"/>
      <c r="M204" s="11">
        <v>1.8991564417143434</v>
      </c>
      <c r="N204" s="10">
        <v>0.7037587679130394</v>
      </c>
      <c r="O204" s="10">
        <v>-0.2196093992482537</v>
      </c>
      <c r="P204" s="10">
        <v>-0.9480810505105399</v>
      </c>
      <c r="Q204" s="12">
        <v>1.175062763272059</v>
      </c>
      <c r="U204" s="21" t="s">
        <v>3</v>
      </c>
      <c r="X204" s="42"/>
      <c r="Y204" s="55">
        <v>0.0</v>
      </c>
      <c r="Z204" s="56">
        <v>0.0</v>
      </c>
      <c r="AA204" s="56">
        <v>0.0</v>
      </c>
      <c r="AB204" s="56">
        <v>0.0</v>
      </c>
      <c r="AC204" s="58">
        <v>-99.0</v>
      </c>
    </row>
    <row r="205">
      <c r="B205" s="1"/>
      <c r="C205" s="2"/>
      <c r="D205" s="2"/>
      <c r="E205" s="2"/>
      <c r="F205" s="2"/>
      <c r="G205" s="2"/>
      <c r="H205" s="2"/>
      <c r="I205" s="21" t="s">
        <v>3</v>
      </c>
      <c r="L205" s="1"/>
      <c r="M205" s="13">
        <v>-0.654161122344408</v>
      </c>
      <c r="N205" s="14">
        <v>0.6117056252611617</v>
      </c>
      <c r="O205" s="14">
        <v>0.6757049002716943</v>
      </c>
      <c r="P205" s="14">
        <v>0.61660879928997</v>
      </c>
      <c r="Q205" s="15">
        <v>0.5460761694101726</v>
      </c>
      <c r="U205" s="21" t="s">
        <v>3</v>
      </c>
      <c r="X205" s="42"/>
      <c r="Y205" s="62">
        <v>0.0</v>
      </c>
      <c r="Z205" s="63">
        <v>0.0</v>
      </c>
      <c r="AA205" s="63">
        <v>0.0</v>
      </c>
      <c r="AB205" s="63">
        <v>0.0</v>
      </c>
      <c r="AC205" s="64">
        <v>0.0</v>
      </c>
    </row>
    <row r="206">
      <c r="B206" s="1"/>
      <c r="C206" s="2"/>
      <c r="D206" s="2"/>
      <c r="E206" s="2"/>
      <c r="F206" s="2"/>
      <c r="G206" s="2"/>
      <c r="H206" s="2"/>
      <c r="I206" s="21" t="s">
        <v>3</v>
      </c>
      <c r="J206" s="2"/>
      <c r="K206" s="2"/>
      <c r="L206" s="2"/>
      <c r="M206" s="2"/>
      <c r="N206" s="2"/>
      <c r="O206" s="3"/>
      <c r="P206" s="2"/>
      <c r="Q206" s="2"/>
      <c r="R206" s="2"/>
      <c r="S206" s="2"/>
      <c r="T206" s="2"/>
      <c r="U206" s="21" t="s">
        <v>3</v>
      </c>
      <c r="V206" s="2"/>
      <c r="W206" s="2"/>
      <c r="X206" s="2"/>
      <c r="Y206" s="2"/>
      <c r="Z206" s="2"/>
      <c r="AA206" s="2"/>
      <c r="AB206" s="2"/>
      <c r="AC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01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B208" s="66" t="s">
        <v>42</v>
      </c>
      <c r="C208" s="102">
        <f t="shared" ref="C208:G208" si="41">NORMINV(rand(),0, 1)</f>
        <v>-0.1453799738</v>
      </c>
      <c r="D208" s="103">
        <f t="shared" si="41"/>
        <v>1.185110552</v>
      </c>
      <c r="E208" s="103">
        <f t="shared" si="41"/>
        <v>0.9692695439</v>
      </c>
      <c r="F208" s="103">
        <f t="shared" si="41"/>
        <v>-0.4433529192</v>
      </c>
      <c r="G208" s="104">
        <f t="shared" si="41"/>
        <v>-1.679506692</v>
      </c>
      <c r="H208" s="2"/>
      <c r="I208" s="66" t="s">
        <v>43</v>
      </c>
      <c r="J208" s="105">
        <f t="array" ref="J208:N212">MMULT(C208:G212,$M$201:$Q$205)</f>
        <v>0.1980453084</v>
      </c>
      <c r="K208" s="106">
        <v>-1.225729409666778</v>
      </c>
      <c r="L208" s="106">
        <v>-0.3099102956382963</v>
      </c>
      <c r="M208" s="106">
        <v>0.1770248099848144</v>
      </c>
      <c r="N208" s="107">
        <v>-3.4967406270366665</v>
      </c>
      <c r="O208" s="101"/>
      <c r="P208" s="2"/>
      <c r="Q208" s="66" t="s">
        <v>44</v>
      </c>
      <c r="R208" s="102">
        <f t="shared" ref="R208:V208" si="42">NORMINV(rand(),0, 1)</f>
        <v>2.024009408</v>
      </c>
      <c r="S208" s="103">
        <f t="shared" si="42"/>
        <v>1.492807778</v>
      </c>
      <c r="T208" s="103">
        <f t="shared" si="42"/>
        <v>0.8248396078</v>
      </c>
      <c r="U208" s="103">
        <f t="shared" si="42"/>
        <v>-1.016754312</v>
      </c>
      <c r="V208" s="104">
        <f t="shared" si="42"/>
        <v>0.3982781343</v>
      </c>
      <c r="W208" s="2"/>
      <c r="X208" s="66" t="s">
        <v>45</v>
      </c>
      <c r="Y208" s="105">
        <f t="array" ref="Y208:AC212">MMULT(R208:V212,$M$201:$Q$205)</f>
        <v>0.2693025018</v>
      </c>
      <c r="Z208" s="106">
        <v>1.2831305052264406</v>
      </c>
      <c r="AA208" s="106">
        <v>4.334769561418332</v>
      </c>
      <c r="AB208" s="106">
        <v>0.9995677167309279</v>
      </c>
      <c r="AC208" s="107">
        <v>-3.0142221315540754</v>
      </c>
    </row>
    <row r="209">
      <c r="B209" s="66" t="s">
        <v>6</v>
      </c>
      <c r="C209" s="109">
        <f t="shared" ref="C209:G209" si="43">NORMINV(rand(),0, 1)</f>
        <v>-1.817536588</v>
      </c>
      <c r="D209" s="85">
        <f t="shared" si="43"/>
        <v>-0.490274401</v>
      </c>
      <c r="E209" s="85">
        <f t="shared" si="43"/>
        <v>-1.065546057</v>
      </c>
      <c r="F209" s="85">
        <f t="shared" si="43"/>
        <v>-2.304603767</v>
      </c>
      <c r="G209" s="110">
        <f t="shared" si="43"/>
        <v>-0.06814121115</v>
      </c>
      <c r="H209" s="2"/>
      <c r="I209" s="2"/>
      <c r="J209" s="111">
        <v>-7.206504264039076</v>
      </c>
      <c r="K209" s="108">
        <v>-3.3188328998626657</v>
      </c>
      <c r="L209" s="108">
        <v>-2.770163800141654</v>
      </c>
      <c r="M209" s="108">
        <v>1.8785328583755119</v>
      </c>
      <c r="N209" s="112">
        <v>-2.827648588496366</v>
      </c>
      <c r="O209" s="101"/>
      <c r="P209" s="2"/>
      <c r="Q209" s="66" t="s">
        <v>6</v>
      </c>
      <c r="R209" s="109">
        <f t="shared" ref="R209:V209" si="44">NORMINV(rand(),0, 1)</f>
        <v>-0.2887260123</v>
      </c>
      <c r="S209" s="85">
        <f t="shared" si="44"/>
        <v>0.9295555686</v>
      </c>
      <c r="T209" s="85">
        <f t="shared" si="44"/>
        <v>0.7711954373</v>
      </c>
      <c r="U209" s="85">
        <f t="shared" si="44"/>
        <v>0.6006036887</v>
      </c>
      <c r="V209" s="110">
        <f t="shared" si="44"/>
        <v>-1.484649087</v>
      </c>
      <c r="W209" s="2"/>
      <c r="X209" s="2"/>
      <c r="Y209" s="111">
        <v>1.8501087760528696</v>
      </c>
      <c r="Z209" s="108">
        <v>-0.5287589238331689</v>
      </c>
      <c r="AA209" s="108">
        <v>-0.8049544399863461</v>
      </c>
      <c r="AB209" s="108">
        <v>-0.7874700729492956</v>
      </c>
      <c r="AC209" s="112">
        <v>-1.773113498871915</v>
      </c>
    </row>
    <row r="210">
      <c r="B210" s="42"/>
      <c r="C210" s="109">
        <f t="shared" ref="C210:G210" si="45">NORMINV(rand(),0, 1)</f>
        <v>-0.9013654926</v>
      </c>
      <c r="D210" s="85">
        <f t="shared" si="45"/>
        <v>0.05035054929</v>
      </c>
      <c r="E210" s="85">
        <f t="shared" si="45"/>
        <v>-0.2752873987</v>
      </c>
      <c r="F210" s="85">
        <f t="shared" si="45"/>
        <v>2.559504367</v>
      </c>
      <c r="G210" s="110">
        <f t="shared" si="45"/>
        <v>-0.324330845</v>
      </c>
      <c r="H210" s="67" t="s">
        <v>7</v>
      </c>
      <c r="I210" s="67" t="s">
        <v>7</v>
      </c>
      <c r="J210" s="111">
        <v>3.6889614726739812</v>
      </c>
      <c r="K210" s="108">
        <v>0.8410558720679073</v>
      </c>
      <c r="L210" s="108">
        <v>-2.146693470449541</v>
      </c>
      <c r="M210" s="108">
        <v>-2.562381226636653</v>
      </c>
      <c r="N210" s="112">
        <v>2.297871900188223</v>
      </c>
      <c r="O210" s="101"/>
      <c r="P210" s="2"/>
      <c r="Q210" s="42"/>
      <c r="R210" s="109">
        <f t="shared" ref="R210:V210" si="46">NORMINV(rand(),0, 1)</f>
        <v>1.395592786</v>
      </c>
      <c r="S210" s="85">
        <f t="shared" si="46"/>
        <v>-1.707480607</v>
      </c>
      <c r="T210" s="85">
        <f t="shared" si="46"/>
        <v>0.3668576613</v>
      </c>
      <c r="U210" s="85">
        <f t="shared" si="46"/>
        <v>-0.4818324493</v>
      </c>
      <c r="V210" s="110">
        <f t="shared" si="46"/>
        <v>1.471461613</v>
      </c>
      <c r="W210" s="67" t="s">
        <v>7</v>
      </c>
      <c r="X210" s="67" t="s">
        <v>7</v>
      </c>
      <c r="Y210" s="111">
        <v>1.0335037159490663</v>
      </c>
      <c r="Z210" s="108">
        <v>1.731080961948507</v>
      </c>
      <c r="AA210" s="108">
        <v>2.492611580877697</v>
      </c>
      <c r="AB210" s="108">
        <v>1.4762031268828961</v>
      </c>
      <c r="AC210" s="112">
        <v>4.411684451622943</v>
      </c>
    </row>
    <row r="211">
      <c r="B211" s="42"/>
      <c r="C211" s="109">
        <f t="shared" ref="C211:G211" si="47">NORMINV(rand(),0, 1)</f>
        <v>-0.7196833603</v>
      </c>
      <c r="D211" s="85">
        <f t="shared" si="47"/>
        <v>-0.3110571339</v>
      </c>
      <c r="E211" s="85">
        <f t="shared" si="47"/>
        <v>0.422736909</v>
      </c>
      <c r="F211" s="85">
        <f t="shared" si="47"/>
        <v>-0.7893163309</v>
      </c>
      <c r="G211" s="110">
        <f t="shared" si="47"/>
        <v>-0.8931002218</v>
      </c>
      <c r="H211" s="2"/>
      <c r="I211" s="2"/>
      <c r="J211" s="111">
        <v>-1.3686886416995296</v>
      </c>
      <c r="K211" s="108">
        <v>-1.5570596760569657</v>
      </c>
      <c r="L211" s="108">
        <v>-1.3879357803781107</v>
      </c>
      <c r="M211" s="108">
        <v>0.9254855824435712</v>
      </c>
      <c r="N211" s="112">
        <v>-0.8168088775986344</v>
      </c>
      <c r="O211" s="101"/>
      <c r="P211" s="2"/>
      <c r="Q211" s="42"/>
      <c r="R211" s="109">
        <f t="shared" ref="R211:V211" si="48">NORMINV(rand(),0, 1)</f>
        <v>-0.5495059246</v>
      </c>
      <c r="S211" s="85">
        <f t="shared" si="48"/>
        <v>-0.6013478534</v>
      </c>
      <c r="T211" s="85">
        <f t="shared" si="48"/>
        <v>-2.2467189</v>
      </c>
      <c r="U211" s="85">
        <f t="shared" si="48"/>
        <v>-0.9250246389</v>
      </c>
      <c r="V211" s="110">
        <f t="shared" si="48"/>
        <v>1.298392103</v>
      </c>
      <c r="W211" s="2"/>
      <c r="X211" s="2"/>
      <c r="Y211" s="111">
        <v>-4.675547154865432</v>
      </c>
      <c r="Z211" s="108">
        <v>-0.8112787018331279</v>
      </c>
      <c r="AA211" s="108">
        <v>-0.935252753369986</v>
      </c>
      <c r="AB211" s="108">
        <v>-0.18065571062882235</v>
      </c>
      <c r="AC211" s="112">
        <v>-0.34944287029598553</v>
      </c>
    </row>
    <row r="212">
      <c r="B212" s="42"/>
      <c r="C212" s="113">
        <f t="shared" ref="C212:G212" si="49">NORMINV(rand(),0, 1)</f>
        <v>-1.123018302</v>
      </c>
      <c r="D212" s="114">
        <f t="shared" si="49"/>
        <v>0.8138296875</v>
      </c>
      <c r="E212" s="114">
        <f t="shared" si="49"/>
        <v>0.221876463</v>
      </c>
      <c r="F212" s="114">
        <f t="shared" si="49"/>
        <v>1.199092331</v>
      </c>
      <c r="G212" s="115">
        <f t="shared" si="49"/>
        <v>0.07136754616</v>
      </c>
      <c r="H212" s="2"/>
      <c r="J212" s="116">
        <v>0.5503823473751832</v>
      </c>
      <c r="K212" s="117">
        <v>0.0698982777384517</v>
      </c>
      <c r="L212" s="117">
        <v>-1.347528995106349</v>
      </c>
      <c r="M212" s="117">
        <v>-0.5927936425970481</v>
      </c>
      <c r="N212" s="118">
        <v>-0.5122300408026987</v>
      </c>
      <c r="O212" s="101"/>
      <c r="P212" s="2"/>
      <c r="Q212" s="42"/>
      <c r="R212" s="113">
        <f t="shared" ref="R212:V212" si="50">NORMINV(rand(),0, 1)</f>
        <v>0.06392090425</v>
      </c>
      <c r="S212" s="114">
        <f t="shared" si="50"/>
        <v>1.554948581</v>
      </c>
      <c r="T212" s="114">
        <f t="shared" si="50"/>
        <v>0.2552701974</v>
      </c>
      <c r="U212" s="114">
        <f t="shared" si="50"/>
        <v>-0.6986468168</v>
      </c>
      <c r="V212" s="115">
        <f t="shared" si="50"/>
        <v>-0.4871343888</v>
      </c>
      <c r="W212" s="2"/>
      <c r="Y212" s="116">
        <v>-1.5120584069136227</v>
      </c>
      <c r="Z212" s="117">
        <v>-0.684242813429367</v>
      </c>
      <c r="AA212" s="117">
        <v>0.6899171100848986</v>
      </c>
      <c r="AB212" s="117">
        <v>0.3274684940648306</v>
      </c>
      <c r="AC212" s="118">
        <v>-4.170597779079735</v>
      </c>
    </row>
    <row r="213">
      <c r="B213" s="1"/>
      <c r="C213" s="2"/>
      <c r="D213" s="2"/>
      <c r="E213" s="2"/>
      <c r="F213" s="2"/>
      <c r="G213" s="2"/>
      <c r="H213" s="2"/>
      <c r="O213" s="101"/>
      <c r="P213" s="2"/>
      <c r="Q213" s="1"/>
      <c r="R213" s="2"/>
      <c r="S213" s="2"/>
      <c r="T213" s="2"/>
      <c r="U213" s="2"/>
      <c r="V213" s="2"/>
      <c r="W213" s="2"/>
    </row>
    <row r="214">
      <c r="B214" s="66" t="s">
        <v>46</v>
      </c>
      <c r="C214" s="102">
        <f t="shared" ref="C214:G214" si="51">NORMINV(rand(),0, 1)</f>
        <v>-0.03123891001</v>
      </c>
      <c r="D214" s="103">
        <f t="shared" si="51"/>
        <v>-1.163666828</v>
      </c>
      <c r="E214" s="103">
        <f t="shared" si="51"/>
        <v>0.515517641</v>
      </c>
      <c r="F214" s="103">
        <f t="shared" si="51"/>
        <v>0.8023387659</v>
      </c>
      <c r="G214" s="104">
        <f t="shared" si="51"/>
        <v>1.571141666</v>
      </c>
      <c r="H214" s="2"/>
      <c r="I214" s="66" t="s">
        <v>47</v>
      </c>
      <c r="J214" s="105">
        <f t="array" ref="J214:N218">MMULT(C214:G218,$M$201:$Q$205)</f>
        <v>1.417953722</v>
      </c>
      <c r="K214" s="106">
        <v>1.6268317120677704</v>
      </c>
      <c r="L214" s="106">
        <v>0.5713979794693842</v>
      </c>
      <c r="M214" s="106">
        <v>0.9080137352332751</v>
      </c>
      <c r="N214" s="107">
        <v>4.4391321032105076</v>
      </c>
      <c r="O214" s="101"/>
      <c r="P214" s="2"/>
      <c r="Q214" s="66" t="s">
        <v>48</v>
      </c>
      <c r="R214" s="102">
        <f t="shared" ref="R214:V214" si="52">NORMINV(rand(),0, 1)</f>
        <v>0.8546806759</v>
      </c>
      <c r="S214" s="103">
        <f t="shared" si="52"/>
        <v>0.06406910802</v>
      </c>
      <c r="T214" s="103">
        <f t="shared" si="52"/>
        <v>-2.020258056</v>
      </c>
      <c r="U214" s="103">
        <f t="shared" si="52"/>
        <v>0.1501894851</v>
      </c>
      <c r="V214" s="104">
        <f t="shared" si="52"/>
        <v>0.2877821826</v>
      </c>
      <c r="W214" s="2"/>
      <c r="X214" s="66" t="s">
        <v>49</v>
      </c>
      <c r="Y214" s="105">
        <f t="array" ref="Y214:AC218">MMULT(R214:V218,$M$201:$Q$205)</f>
        <v>-0.3369480839</v>
      </c>
      <c r="Z214" s="106">
        <v>0.4640396511261612</v>
      </c>
      <c r="AA214" s="106">
        <v>0.501465630939051</v>
      </c>
      <c r="AB214" s="106">
        <v>-2.2407592186930625</v>
      </c>
      <c r="AC214" s="107">
        <v>-0.4428744855478548</v>
      </c>
    </row>
    <row r="215">
      <c r="B215" s="66" t="s">
        <v>12</v>
      </c>
      <c r="C215" s="109">
        <f t="shared" ref="C215:G215" si="53">NORMINV(rand(),0, 1)</f>
        <v>0.5218210871</v>
      </c>
      <c r="D215" s="85">
        <f t="shared" si="53"/>
        <v>-0.2891437976</v>
      </c>
      <c r="E215" s="85">
        <f t="shared" si="53"/>
        <v>1.205699222</v>
      </c>
      <c r="F215" s="85">
        <f t="shared" si="53"/>
        <v>-0.3398844862</v>
      </c>
      <c r="G215" s="110">
        <f t="shared" si="53"/>
        <v>1.249517123</v>
      </c>
      <c r="H215" s="2"/>
      <c r="I215" s="2"/>
      <c r="J215" s="111">
        <v>0.24339995386043012</v>
      </c>
      <c r="K215" s="108">
        <v>1.2144664531282192</v>
      </c>
      <c r="L215" s="108">
        <v>2.0582497088337</v>
      </c>
      <c r="M215" s="108">
        <v>2.1058233570287332</v>
      </c>
      <c r="N215" s="112">
        <v>1.611591884973056</v>
      </c>
      <c r="O215" s="101"/>
      <c r="P215" s="2"/>
      <c r="Q215" s="66" t="s">
        <v>12</v>
      </c>
      <c r="R215" s="109">
        <f t="shared" ref="R215:V215" si="54">NORMINV(rand(),0, 1)</f>
        <v>-0.9661845694</v>
      </c>
      <c r="S215" s="85">
        <f t="shared" si="54"/>
        <v>-1.48385256</v>
      </c>
      <c r="T215" s="85">
        <f t="shared" si="54"/>
        <v>0.3096819753</v>
      </c>
      <c r="U215" s="85">
        <f t="shared" si="54"/>
        <v>0.56220198</v>
      </c>
      <c r="V215" s="110">
        <f t="shared" si="54"/>
        <v>0.08801140783</v>
      </c>
      <c r="W215" s="2"/>
      <c r="X215" s="2"/>
      <c r="Y215" s="111">
        <v>0.741110675984663</v>
      </c>
      <c r="Z215" s="108">
        <v>-0.21970402330544472</v>
      </c>
      <c r="AA215" s="108">
        <v>-1.9182744753592076</v>
      </c>
      <c r="AB215" s="108">
        <v>0.4259327038994488</v>
      </c>
      <c r="AC215" s="112">
        <v>3.6030847338720746</v>
      </c>
    </row>
    <row r="216">
      <c r="B216" s="42"/>
      <c r="C216" s="109">
        <f t="shared" ref="C216:G216" si="55">NORMINV(rand(),0, 1)</f>
        <v>1.035230755</v>
      </c>
      <c r="D216" s="85">
        <f t="shared" si="55"/>
        <v>-0.4634272205</v>
      </c>
      <c r="E216" s="85">
        <f t="shared" si="55"/>
        <v>0.1512526676</v>
      </c>
      <c r="F216" s="85">
        <f t="shared" si="55"/>
        <v>0.2804071357</v>
      </c>
      <c r="G216" s="110">
        <f t="shared" si="55"/>
        <v>0.6278981913</v>
      </c>
      <c r="H216" s="67" t="s">
        <v>7</v>
      </c>
      <c r="I216" s="67" t="s">
        <v>7</v>
      </c>
      <c r="J216" s="111">
        <v>1.7913785266341147</v>
      </c>
      <c r="K216" s="108">
        <v>1.4185133386239595</v>
      </c>
      <c r="L216" s="108">
        <v>1.685341317384938</v>
      </c>
      <c r="M216" s="108">
        <v>-0.04435479952032789</v>
      </c>
      <c r="N216" s="112">
        <v>2.0487454898921644</v>
      </c>
      <c r="O216" s="101"/>
      <c r="P216" s="2"/>
      <c r="Q216" s="42"/>
      <c r="R216" s="109">
        <f t="shared" ref="R216:V216" si="56">NORMINV(rand(),0, 1)</f>
        <v>-0.8105579016</v>
      </c>
      <c r="S216" s="85">
        <f t="shared" si="56"/>
        <v>1.2134805</v>
      </c>
      <c r="T216" s="85">
        <f t="shared" si="56"/>
        <v>1.060651875</v>
      </c>
      <c r="U216" s="85">
        <f t="shared" si="56"/>
        <v>1.651748857</v>
      </c>
      <c r="V216" s="110">
        <f t="shared" si="56"/>
        <v>-1.657761028</v>
      </c>
      <c r="W216" s="67" t="s">
        <v>7</v>
      </c>
      <c r="X216" s="67" t="s">
        <v>7</v>
      </c>
      <c r="Y216" s="111">
        <v>3.3639778102307414</v>
      </c>
      <c r="Z216" s="108">
        <v>-0.230470261572156</v>
      </c>
      <c r="AA216" s="108">
        <v>-1.6373014972872273</v>
      </c>
      <c r="AB216" s="108">
        <v>-1.4634640271411643</v>
      </c>
      <c r="AC216" s="112">
        <v>-1.2622794293895616</v>
      </c>
    </row>
    <row r="217">
      <c r="B217" s="42"/>
      <c r="C217" s="109">
        <f t="shared" ref="C217:G217" si="57">NORMINV(rand(),0, 1)</f>
        <v>0.8255213599</v>
      </c>
      <c r="D217" s="85">
        <f t="shared" si="57"/>
        <v>-0.3766254359</v>
      </c>
      <c r="E217" s="85">
        <f t="shared" si="57"/>
        <v>-2.568443429</v>
      </c>
      <c r="F217" s="85">
        <f t="shared" si="57"/>
        <v>-1.741822857</v>
      </c>
      <c r="G217" s="110">
        <f t="shared" si="57"/>
        <v>-0.3199351221</v>
      </c>
      <c r="H217" s="2"/>
      <c r="I217" s="2"/>
      <c r="J217" s="111">
        <v>-3.756607287358664</v>
      </c>
      <c r="K217" s="108">
        <v>-1.3902178084687074</v>
      </c>
      <c r="L217" s="108">
        <v>0.03638846312505514</v>
      </c>
      <c r="M217" s="108">
        <v>-1.2659287066754803</v>
      </c>
      <c r="N217" s="112">
        <v>-2.3466879736490114</v>
      </c>
      <c r="O217" s="101"/>
      <c r="P217" s="2"/>
      <c r="Q217" s="42"/>
      <c r="R217" s="109">
        <f t="shared" ref="R217:V217" si="58">NORMINV(rand(),0, 1)</f>
        <v>-1.076047634</v>
      </c>
      <c r="S217" s="85">
        <f t="shared" si="58"/>
        <v>-0.2626100824</v>
      </c>
      <c r="T217" s="85">
        <f t="shared" si="58"/>
        <v>-0.6767708795</v>
      </c>
      <c r="U217" s="85">
        <f t="shared" si="58"/>
        <v>0.9824151425</v>
      </c>
      <c r="V217" s="110">
        <f t="shared" si="58"/>
        <v>-0.3523077917</v>
      </c>
      <c r="W217" s="2"/>
      <c r="X217" s="2"/>
      <c r="Y217" s="111">
        <v>0.3467326193613247</v>
      </c>
      <c r="Z217" s="108">
        <v>-0.515047038317892</v>
      </c>
      <c r="AA217" s="108">
        <v>-2.374599506725998</v>
      </c>
      <c r="AB217" s="108">
        <v>-1.3539612623473531</v>
      </c>
      <c r="AC217" s="112">
        <v>0.8348001911585365</v>
      </c>
    </row>
    <row r="218">
      <c r="B218" s="42"/>
      <c r="C218" s="113">
        <f t="shared" ref="C218:G218" si="59">NORMINV(rand(),0, 1)</f>
        <v>-0.6816004836</v>
      </c>
      <c r="D218" s="114">
        <f t="shared" si="59"/>
        <v>1.205077154</v>
      </c>
      <c r="E218" s="114">
        <f t="shared" si="59"/>
        <v>0.06064465282</v>
      </c>
      <c r="F218" s="114">
        <f t="shared" si="59"/>
        <v>-0.4413347374</v>
      </c>
      <c r="G218" s="115">
        <f t="shared" si="59"/>
        <v>-0.6486221966</v>
      </c>
      <c r="H218" s="2"/>
      <c r="J218" s="116">
        <v>-1.842906891555975</v>
      </c>
      <c r="K218" s="117">
        <v>-1.2231211070389747</v>
      </c>
      <c r="L218" s="117">
        <v>-0.7576568142524984</v>
      </c>
      <c r="M218" s="117">
        <v>0.13344711064402826</v>
      </c>
      <c r="N218" s="118">
        <v>-3.570339091079785</v>
      </c>
      <c r="O218" s="101"/>
      <c r="P218" s="2"/>
      <c r="Q218" s="42"/>
      <c r="R218" s="113">
        <f t="shared" ref="R218:V218" si="60">NORMINV(rand(),0, 1)</f>
        <v>0.7927063955</v>
      </c>
      <c r="S218" s="114">
        <f t="shared" si="60"/>
        <v>-2.130700525</v>
      </c>
      <c r="T218" s="114">
        <f t="shared" si="60"/>
        <v>-0.2532033372</v>
      </c>
      <c r="U218" s="114">
        <f t="shared" si="60"/>
        <v>1.470690863</v>
      </c>
      <c r="V218" s="115">
        <f t="shared" si="60"/>
        <v>0.8042827938</v>
      </c>
      <c r="W218" s="2"/>
      <c r="Y218" s="116">
        <v>4.156975188092634</v>
      </c>
      <c r="Z218" s="117">
        <v>2.0856619981878506</v>
      </c>
      <c r="AA218" s="117">
        <v>0.3131317074020709</v>
      </c>
      <c r="AB218" s="117">
        <v>-1.0877761835570885</v>
      </c>
      <c r="AC218" s="118">
        <v>6.731729780294011</v>
      </c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01"/>
      <c r="P219" s="2"/>
      <c r="Q219" s="1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B220" s="66" t="s">
        <v>50</v>
      </c>
      <c r="C220" s="119">
        <f t="shared" ref="C220:G220" si="61">NORMINV(rand(),0, 1)</f>
        <v>-0.5747832127</v>
      </c>
      <c r="D220" s="120">
        <f t="shared" si="61"/>
        <v>-1.853109804</v>
      </c>
      <c r="E220" s="121">
        <f t="shared" si="61"/>
        <v>0.8325113521</v>
      </c>
      <c r="F220" s="122">
        <f t="shared" si="61"/>
        <v>-0.4124907214</v>
      </c>
      <c r="G220" s="123">
        <f t="shared" si="61"/>
        <v>-0.2802742767</v>
      </c>
      <c r="H220" s="2"/>
      <c r="I220" s="66" t="s">
        <v>51</v>
      </c>
      <c r="J220" s="124">
        <f t="array" ref="J220:N224">MMULT(C220:G224,$M$201:$Q$205)</f>
        <v>0.2039627823</v>
      </c>
      <c r="K220" s="125">
        <v>-0.7037328533001035</v>
      </c>
      <c r="L220" s="126">
        <v>-1.3312139659878426</v>
      </c>
      <c r="M220" s="127">
        <v>1.5406218980714643</v>
      </c>
      <c r="N220" s="128">
        <v>3.3934447495429327</v>
      </c>
      <c r="O220" s="101"/>
      <c r="P220" s="2"/>
      <c r="Q220" s="66" t="s">
        <v>52</v>
      </c>
      <c r="R220" s="119">
        <f t="shared" ref="R220:V220" si="62">NORMINV(rand(),0, 1)</f>
        <v>-0.9173259424</v>
      </c>
      <c r="S220" s="120">
        <f t="shared" si="62"/>
        <v>-0.9650899442</v>
      </c>
      <c r="T220" s="121">
        <f t="shared" si="62"/>
        <v>-0.7027270343</v>
      </c>
      <c r="U220" s="122">
        <f t="shared" si="62"/>
        <v>1.535625965</v>
      </c>
      <c r="V220" s="123">
        <f t="shared" si="62"/>
        <v>-0.8088042119</v>
      </c>
      <c r="W220" s="2"/>
      <c r="X220" s="66" t="s">
        <v>53</v>
      </c>
      <c r="Y220" s="124">
        <f t="array" ref="Y220:AC224">MMULT(R220:V224,$M$201:$Q$205)</f>
        <v>2.230243958</v>
      </c>
      <c r="Z220" s="125">
        <v>-0.2864713171399038</v>
      </c>
      <c r="AA220" s="126">
        <v>-2.8928656983086896</v>
      </c>
      <c r="AB220" s="127">
        <v>-2.128542167325067</v>
      </c>
      <c r="AC220" s="128">
        <v>2.732559286011566</v>
      </c>
    </row>
    <row r="221">
      <c r="B221" s="66" t="s">
        <v>16</v>
      </c>
      <c r="C221" s="131">
        <f t="shared" ref="C221:G221" si="63">NORMINV(rand(),0, 1)</f>
        <v>1.333919424</v>
      </c>
      <c r="D221" s="132">
        <f t="shared" si="63"/>
        <v>-0.4026513312</v>
      </c>
      <c r="E221" s="133">
        <f t="shared" si="63"/>
        <v>-0.05058735055</v>
      </c>
      <c r="F221" s="134">
        <f t="shared" si="63"/>
        <v>2.73906181</v>
      </c>
      <c r="G221" s="135">
        <f t="shared" si="63"/>
        <v>-0.3475620627</v>
      </c>
      <c r="H221" s="2"/>
      <c r="I221" s="42"/>
      <c r="J221" s="136">
        <v>7.301723129987857</v>
      </c>
      <c r="K221" s="137">
        <v>2.7350107302562554</v>
      </c>
      <c r="L221" s="138">
        <v>0.8430309723806214</v>
      </c>
      <c r="M221" s="139">
        <v>-3.293057980899346</v>
      </c>
      <c r="N221" s="140">
        <v>4.2862404622847565</v>
      </c>
      <c r="O221" s="101"/>
      <c r="P221" s="2"/>
      <c r="Q221" s="66" t="s">
        <v>16</v>
      </c>
      <c r="R221" s="131">
        <f t="shared" ref="R221:V221" si="64">NORMINV(rand(),0, 1)</f>
        <v>-0.2452211438</v>
      </c>
      <c r="S221" s="132">
        <f t="shared" si="64"/>
        <v>0.8860136661</v>
      </c>
      <c r="T221" s="133">
        <f t="shared" si="64"/>
        <v>0.8661801836</v>
      </c>
      <c r="U221" s="134">
        <f t="shared" si="64"/>
        <v>0.305659233</v>
      </c>
      <c r="V221" s="135">
        <f t="shared" si="64"/>
        <v>1.917920776</v>
      </c>
      <c r="W221" s="2"/>
      <c r="X221" s="42"/>
      <c r="Y221" s="136">
        <v>-0.7880272640745312</v>
      </c>
      <c r="Z221" s="137">
        <v>1.4012573460909987</v>
      </c>
      <c r="AA221" s="138">
        <v>1.6432080598066932</v>
      </c>
      <c r="AB221" s="139">
        <v>1.6725553203193662</v>
      </c>
      <c r="AC221" s="140">
        <v>-0.11312753004231046</v>
      </c>
    </row>
    <row r="222">
      <c r="B222" s="42"/>
      <c r="C222" s="142">
        <f t="shared" ref="C222:G222" si="65">NORMINV(rand(),0, 1)</f>
        <v>-0.8205739115</v>
      </c>
      <c r="D222" s="143">
        <f t="shared" si="65"/>
        <v>-0.4145891</v>
      </c>
      <c r="E222" s="88">
        <f t="shared" si="65"/>
        <v>-0.6991026482</v>
      </c>
      <c r="F222" s="144">
        <f t="shared" si="65"/>
        <v>-0.9314791046</v>
      </c>
      <c r="G222" s="145">
        <f t="shared" si="65"/>
        <v>0.1819766539</v>
      </c>
      <c r="H222" s="67" t="s">
        <v>7</v>
      </c>
      <c r="I222" s="67" t="s">
        <v>7</v>
      </c>
      <c r="J222" s="146">
        <v>-3.251004488132229</v>
      </c>
      <c r="K222" s="147">
        <v>-1.34257563714562</v>
      </c>
      <c r="L222" s="148">
        <v>-1.3091397703163823</v>
      </c>
      <c r="M222" s="149">
        <v>0.6978868526153003</v>
      </c>
      <c r="N222" s="150">
        <v>-0.7322262621514011</v>
      </c>
      <c r="O222" s="101"/>
      <c r="P222" s="2"/>
      <c r="Q222" s="42"/>
      <c r="R222" s="142">
        <f t="shared" ref="R222:V222" si="66">NORMINV(rand(),0, 1)</f>
        <v>-0.2704269439</v>
      </c>
      <c r="S222" s="143">
        <f t="shared" si="66"/>
        <v>-1.142649631</v>
      </c>
      <c r="T222" s="88">
        <f t="shared" si="66"/>
        <v>1.41264441</v>
      </c>
      <c r="U222" s="144">
        <f t="shared" si="66"/>
        <v>-0.3022657588</v>
      </c>
      <c r="V222" s="145">
        <f t="shared" si="66"/>
        <v>0.04867027608</v>
      </c>
      <c r="W222" s="67" t="s">
        <v>7</v>
      </c>
      <c r="X222" s="67" t="s">
        <v>7</v>
      </c>
      <c r="Y222" s="146">
        <v>0.6639533452963614</v>
      </c>
      <c r="Z222" s="147">
        <v>-0.05448661663689479</v>
      </c>
      <c r="AA222" s="148">
        <v>-0.1475096884997124</v>
      </c>
      <c r="AB222" s="149">
        <v>1.966392223467405</v>
      </c>
      <c r="AC222" s="150">
        <v>2.599024692089875</v>
      </c>
    </row>
    <row r="223">
      <c r="B223" s="42"/>
      <c r="C223" s="152">
        <f t="shared" ref="C223:G223" si="67">NORMINV(rand(),0, 1)</f>
        <v>-0.4797214403</v>
      </c>
      <c r="D223" s="92">
        <f t="shared" si="67"/>
        <v>-0.1105725605</v>
      </c>
      <c r="E223" s="153">
        <f t="shared" si="67"/>
        <v>1.104977622</v>
      </c>
      <c r="F223" s="154">
        <f t="shared" si="67"/>
        <v>-1.056848551</v>
      </c>
      <c r="G223" s="155">
        <f t="shared" si="67"/>
        <v>-0.09571794982</v>
      </c>
      <c r="H223" s="2"/>
      <c r="I223" s="42"/>
      <c r="J223" s="156">
        <v>-1.6852308656080033</v>
      </c>
      <c r="K223" s="157">
        <v>-0.9112866582890895</v>
      </c>
      <c r="L223" s="158">
        <v>-0.06799234312365501</v>
      </c>
      <c r="M223" s="159">
        <v>2.204755381452461</v>
      </c>
      <c r="N223" s="160">
        <v>-0.7169939118075876</v>
      </c>
      <c r="O223" s="101"/>
      <c r="P223" s="2"/>
      <c r="Q223" s="42"/>
      <c r="R223" s="152">
        <f t="shared" ref="R223:V223" si="68">NORMINV(rand(),0, 1)</f>
        <v>0.4453518397</v>
      </c>
      <c r="S223" s="92">
        <f t="shared" si="68"/>
        <v>0.1165011535</v>
      </c>
      <c r="T223" s="153">
        <f t="shared" si="68"/>
        <v>-0.1555591901</v>
      </c>
      <c r="U223" s="154">
        <f t="shared" si="68"/>
        <v>0.1388257615</v>
      </c>
      <c r="V223" s="155">
        <f t="shared" si="68"/>
        <v>-0.1146936449</v>
      </c>
      <c r="W223" s="2"/>
      <c r="X223" s="42"/>
      <c r="Y223" s="156">
        <v>0.7360039060761827</v>
      </c>
      <c r="Z223" s="157">
        <v>0.3345634203531953</v>
      </c>
      <c r="AA223" s="158">
        <v>0.49888150417066346</v>
      </c>
      <c r="AB223" s="159">
        <v>-0.5381164439135729</v>
      </c>
      <c r="AC223" s="160">
        <v>-0.06352455818141109</v>
      </c>
    </row>
    <row r="224">
      <c r="B224" s="42"/>
      <c r="C224" s="162">
        <f t="shared" ref="C224:G224" si="69">NORMINV(rand(),0, 1)</f>
        <v>-1.072126233</v>
      </c>
      <c r="D224" s="163">
        <f t="shared" si="69"/>
        <v>-1.851191333</v>
      </c>
      <c r="E224" s="164">
        <f t="shared" si="69"/>
        <v>0.2470843229</v>
      </c>
      <c r="F224" s="165">
        <f t="shared" si="69"/>
        <v>0.2446746414</v>
      </c>
      <c r="G224" s="166">
        <f t="shared" si="69"/>
        <v>0.3103653708</v>
      </c>
      <c r="H224" s="2"/>
      <c r="I224" s="42"/>
      <c r="J224" s="167">
        <v>-0.0064440302731469945</v>
      </c>
      <c r="K224" s="168">
        <v>-0.4027973468236837</v>
      </c>
      <c r="L224" s="169">
        <v>-2.031390330360005</v>
      </c>
      <c r="M224" s="170">
        <v>0.9040518722256629</v>
      </c>
      <c r="N224" s="171">
        <v>4.048417173747976</v>
      </c>
      <c r="O224" s="101"/>
      <c r="P224" s="2"/>
      <c r="Q224" s="42"/>
      <c r="R224" s="162">
        <f t="shared" ref="R224:V224" si="70">NORMINV(rand(),0, 1)</f>
        <v>2.408868747</v>
      </c>
      <c r="S224" s="163">
        <f t="shared" si="70"/>
        <v>-0.07534166649</v>
      </c>
      <c r="T224" s="164">
        <f t="shared" si="70"/>
        <v>0.5769040245</v>
      </c>
      <c r="U224" s="165">
        <f t="shared" si="70"/>
        <v>-0.9110358797</v>
      </c>
      <c r="V224" s="166">
        <f t="shared" si="70"/>
        <v>0.4650976968</v>
      </c>
      <c r="W224" s="2"/>
      <c r="X224" s="42"/>
      <c r="Y224" s="167">
        <v>1.517326844005966</v>
      </c>
      <c r="Z224" s="168">
        <v>1.6415625554832705</v>
      </c>
      <c r="AA224" s="169">
        <v>4.1189590053170875</v>
      </c>
      <c r="AB224" s="170">
        <v>0.8162358246027659</v>
      </c>
      <c r="AC224" s="171">
        <v>0.411004338213302</v>
      </c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01"/>
      <c r="P225" s="2"/>
      <c r="Q225" s="1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B226" s="1"/>
      <c r="C226" s="2"/>
      <c r="D226" s="2"/>
      <c r="E226" s="2"/>
      <c r="L226" s="2"/>
      <c r="M226" s="2"/>
      <c r="N226" s="2"/>
      <c r="O226" s="101"/>
      <c r="P226" s="2"/>
      <c r="Q226" s="1"/>
      <c r="R226" s="2"/>
      <c r="S226" s="2"/>
      <c r="T226" s="2"/>
      <c r="AA226" s="2"/>
      <c r="AB226" s="2"/>
      <c r="AC226" s="2"/>
    </row>
    <row r="227">
      <c r="B227" s="1"/>
      <c r="C227" s="2"/>
      <c r="D227" s="2"/>
      <c r="E227" s="2"/>
      <c r="F227" s="68" t="s">
        <v>22</v>
      </c>
      <c r="G227" s="7">
        <f t="array" ref="G227:K231">MMULT(TRANSPOSE(J214:N218),J208:N212) / 5^0.5</f>
        <v>4.14227342</v>
      </c>
      <c r="H227" s="8">
        <v>2.093524808113152</v>
      </c>
      <c r="I227" s="8">
        <v>1.224499157240876</v>
      </c>
      <c r="J227" s="8">
        <v>-2.802316103241129</v>
      </c>
      <c r="K227" s="9">
        <v>1.1101249758144656</v>
      </c>
      <c r="L227" s="2"/>
      <c r="M227" s="2"/>
      <c r="N227" s="2"/>
      <c r="O227" s="101"/>
      <c r="P227" s="2"/>
      <c r="Q227" s="1"/>
      <c r="R227" s="2"/>
      <c r="S227" s="2"/>
      <c r="T227" s="2"/>
      <c r="U227" s="68" t="s">
        <v>22</v>
      </c>
      <c r="V227" s="7">
        <f t="array" ref="V227:Z231">MMULT(TRANSPOSE(Y214:AC218),Y208:AC212) / 5^0.5</f>
        <v>-1.408577938</v>
      </c>
      <c r="W227" s="8">
        <v>0.8378204627883162</v>
      </c>
      <c r="X227" s="8">
        <v>3.9675104609476923</v>
      </c>
      <c r="Y227" s="8">
        <v>2.3899760150436293</v>
      </c>
      <c r="Z227" s="9">
        <v>-1.304013620923805</v>
      </c>
      <c r="AA227" s="2"/>
      <c r="AB227" s="2"/>
      <c r="AC227" s="2"/>
    </row>
    <row r="228">
      <c r="B228" s="1"/>
      <c r="C228" s="2"/>
      <c r="D228" s="2"/>
      <c r="E228" s="2"/>
      <c r="G228" s="11">
        <v>-0.879865546188159</v>
      </c>
      <c r="H228" s="10">
        <v>-1.2309373943306536</v>
      </c>
      <c r="I228" s="10">
        <v>-1.4918294354039563</v>
      </c>
      <c r="J228" s="10">
        <v>-0.7275876111582998</v>
      </c>
      <c r="K228" s="12">
        <v>-1.8340539603381616</v>
      </c>
      <c r="L228" s="2"/>
      <c r="M228" s="2"/>
      <c r="N228" s="2"/>
      <c r="O228" s="101"/>
      <c r="P228" s="2"/>
      <c r="Q228" s="1"/>
      <c r="R228" s="2"/>
      <c r="S228" s="2"/>
      <c r="T228" s="2"/>
      <c r="V228" s="11">
        <v>-0.5658223412083735</v>
      </c>
      <c r="W228" s="10">
        <v>-0.3115385288221784</v>
      </c>
      <c r="X228" s="10">
        <v>1.5806840112483267</v>
      </c>
      <c r="Y228" s="10">
        <v>0.47970959300210303</v>
      </c>
      <c r="Z228" s="12">
        <v>-4.715598262061376</v>
      </c>
      <c r="AA228" s="2"/>
      <c r="AB228" s="2"/>
      <c r="AC228" s="2"/>
    </row>
    <row r="229">
      <c r="B229" s="1"/>
      <c r="C229" s="2"/>
      <c r="D229" s="2"/>
      <c r="E229" s="2"/>
      <c r="G229" s="11">
        <v>-4.011178966085136</v>
      </c>
      <c r="H229" s="10">
        <v>-2.783241799492169</v>
      </c>
      <c r="I229" s="10">
        <v>-3.813042610300814</v>
      </c>
      <c r="J229" s="10">
        <v>0.059016772952155884</v>
      </c>
      <c r="K229" s="12">
        <v>-1.6041403179447526</v>
      </c>
      <c r="L229" s="2"/>
      <c r="M229" s="2"/>
      <c r="N229" s="2"/>
      <c r="O229" s="101"/>
      <c r="P229" s="2"/>
      <c r="Q229" s="1"/>
      <c r="R229" s="2"/>
      <c r="S229" s="2"/>
      <c r="T229" s="2"/>
      <c r="V229" s="11">
        <v>2.4699387130475485</v>
      </c>
      <c r="W229" s="10">
        <v>0.2395513172219546</v>
      </c>
      <c r="X229" s="10">
        <v>0.9273378564278718</v>
      </c>
      <c r="Y229" s="10">
        <v>0.056513817166620225</v>
      </c>
      <c r="Z229" s="12">
        <v>-2.598144416388921</v>
      </c>
      <c r="AA229" s="2"/>
      <c r="AB229" s="2"/>
      <c r="AC229" s="2"/>
    </row>
    <row r="230">
      <c r="B230" s="1"/>
      <c r="C230" s="2"/>
      <c r="D230" s="2"/>
      <c r="E230" s="2"/>
      <c r="G230" s="11">
        <v>-5.971782274256485</v>
      </c>
      <c r="H230" s="10">
        <v>-2.7542568650393506</v>
      </c>
      <c r="I230" s="10">
        <v>-1.9867277864337145</v>
      </c>
      <c r="J230" s="10">
        <v>1.3324943156458475</v>
      </c>
      <c r="K230" s="12">
        <v>-3.696610525513511</v>
      </c>
      <c r="L230" s="2"/>
      <c r="M230" s="2"/>
      <c r="N230" s="2"/>
      <c r="O230" s="101"/>
      <c r="P230" s="2"/>
      <c r="Q230" s="1"/>
      <c r="R230" s="2"/>
      <c r="S230" s="2"/>
      <c r="T230" s="2"/>
      <c r="V230" s="11">
        <v>2.9727965239870513</v>
      </c>
      <c r="W230" s="10">
        <v>-1.6954019327994743</v>
      </c>
      <c r="X230" s="10">
        <v>-5.897878863327581</v>
      </c>
      <c r="Y230" s="10">
        <v>-2.1677255118361622</v>
      </c>
      <c r="Z230" s="12">
        <v>2.03588915828872</v>
      </c>
      <c r="AA230" s="2"/>
      <c r="AB230" s="2"/>
      <c r="AC230" s="2"/>
    </row>
    <row r="231">
      <c r="B231" s="1"/>
      <c r="C231" s="2"/>
      <c r="D231" s="2"/>
      <c r="E231" s="2"/>
      <c r="G231" s="13">
        <v>-0.8632196244907654</v>
      </c>
      <c r="H231" s="14">
        <v>-2.5322561348685335</v>
      </c>
      <c r="I231" s="14">
        <v>-0.9704298701269548</v>
      </c>
      <c r="J231" s="14">
        <v>-0.6671325470349435</v>
      </c>
      <c r="K231" s="15">
        <v>-5.199360667854279</v>
      </c>
      <c r="L231" s="2"/>
      <c r="M231" s="2"/>
      <c r="N231" s="2"/>
      <c r="O231" s="101"/>
      <c r="P231" s="2"/>
      <c r="Q231" s="1"/>
      <c r="R231" s="2"/>
      <c r="S231" s="2"/>
      <c r="T231" s="2"/>
      <c r="V231" s="13">
        <v>-3.953214014845789</v>
      </c>
      <c r="W231" s="14">
        <v>-4.446166349662793</v>
      </c>
      <c r="X231" s="14">
        <v>-1.8348564893132406</v>
      </c>
      <c r="Y231" s="14">
        <v>-1.3817859369482781</v>
      </c>
      <c r="Z231" s="15">
        <v>-17.43667333637454</v>
      </c>
      <c r="AA231" s="2"/>
      <c r="AB231" s="2"/>
      <c r="AC231" s="2"/>
    </row>
    <row r="232">
      <c r="B232" s="1"/>
      <c r="C232" s="2"/>
      <c r="D232" s="2"/>
      <c r="E232" s="2"/>
      <c r="F232" s="2"/>
      <c r="G232" s="2"/>
      <c r="H232" s="2"/>
      <c r="I232" s="98" t="s">
        <v>3</v>
      </c>
      <c r="J232" s="2"/>
      <c r="K232" s="2"/>
      <c r="L232" s="2"/>
      <c r="M232" s="2"/>
      <c r="N232" s="2"/>
      <c r="O232" s="101"/>
      <c r="P232" s="2"/>
      <c r="Q232" s="1"/>
      <c r="R232" s="2"/>
      <c r="S232" s="2"/>
      <c r="T232" s="2"/>
      <c r="U232" s="2"/>
      <c r="V232" s="2"/>
      <c r="W232" s="2"/>
      <c r="X232" s="98" t="s">
        <v>3</v>
      </c>
      <c r="Y232" s="2"/>
      <c r="Z232" s="2"/>
      <c r="AA232" s="2"/>
      <c r="AB232" s="2"/>
      <c r="AC232" s="2"/>
    </row>
    <row r="233">
      <c r="B233" s="1"/>
      <c r="C233" s="2"/>
      <c r="D233" s="2"/>
      <c r="E233" s="2"/>
      <c r="F233" s="2"/>
      <c r="G233" s="2"/>
      <c r="H233" s="2"/>
      <c r="I233" s="98" t="s">
        <v>3</v>
      </c>
      <c r="J233" s="2"/>
      <c r="K233" s="2"/>
      <c r="L233" s="2"/>
      <c r="M233" s="2"/>
      <c r="N233" s="2"/>
      <c r="O233" s="101"/>
      <c r="P233" s="2"/>
      <c r="Q233" s="1"/>
      <c r="R233" s="2"/>
      <c r="S233" s="2"/>
      <c r="T233" s="2"/>
      <c r="U233" s="2"/>
      <c r="V233" s="2"/>
      <c r="W233" s="2"/>
      <c r="X233" s="98" t="s">
        <v>3</v>
      </c>
      <c r="Y233" s="2"/>
      <c r="Z233" s="2"/>
      <c r="AA233" s="2"/>
      <c r="AB233" s="2"/>
      <c r="AC233" s="2"/>
    </row>
    <row r="234">
      <c r="B234" s="1"/>
      <c r="C234" s="2"/>
      <c r="D234" s="2"/>
      <c r="E234" s="2"/>
      <c r="F234" s="34" t="s">
        <v>37</v>
      </c>
      <c r="G234" s="173">
        <f t="shared" ref="G234:K234" si="71">EXP(G227+Y201)/SUMPRODUCT(EXP($G227:$K227+$Y201:$AC201))
</f>
        <v>1</v>
      </c>
      <c r="H234" s="174">
        <f t="shared" si="71"/>
        <v>0</v>
      </c>
      <c r="I234" s="174">
        <f t="shared" si="71"/>
        <v>0</v>
      </c>
      <c r="J234" s="174">
        <f t="shared" si="71"/>
        <v>0</v>
      </c>
      <c r="K234" s="175">
        <f t="shared" si="71"/>
        <v>0</v>
      </c>
      <c r="L234" s="2"/>
      <c r="M234" s="2"/>
      <c r="N234" s="2"/>
      <c r="O234" s="101"/>
      <c r="P234" s="2"/>
      <c r="Q234" s="1"/>
      <c r="R234" s="2"/>
      <c r="S234" s="2"/>
      <c r="T234" s="2"/>
      <c r="U234" s="34" t="s">
        <v>37</v>
      </c>
      <c r="V234" s="173">
        <f t="shared" ref="V234:Z234" si="72">EXP(V227+Y201)/SUMPRODUCT(EXP($V227:$Z227+$Y201:$AC201))
</f>
        <v>1</v>
      </c>
      <c r="W234" s="174">
        <f t="shared" si="72"/>
        <v>0</v>
      </c>
      <c r="X234" s="174">
        <f t="shared" si="72"/>
        <v>0</v>
      </c>
      <c r="Y234" s="174">
        <f t="shared" si="72"/>
        <v>0</v>
      </c>
      <c r="Z234" s="175">
        <f t="shared" si="72"/>
        <v>0</v>
      </c>
      <c r="AA234" s="2"/>
      <c r="AB234" s="2"/>
      <c r="AC234" s="2"/>
    </row>
    <row r="235">
      <c r="B235" s="1"/>
      <c r="C235" s="2"/>
      <c r="D235" s="2"/>
      <c r="E235" s="2"/>
      <c r="F235" s="34" t="s">
        <v>35</v>
      </c>
      <c r="G235" s="176">
        <f t="shared" ref="G235:K235" si="73">EXP(G228+Y202)/SUMPRODUCT(EXP($G228:$K228+$Y202:$AC202))
</f>
        <v>0.5868774751</v>
      </c>
      <c r="H235" s="177">
        <f t="shared" si="73"/>
        <v>0.4131225249</v>
      </c>
      <c r="I235" s="177">
        <f t="shared" si="73"/>
        <v>0</v>
      </c>
      <c r="J235" s="177">
        <f t="shared" si="73"/>
        <v>0</v>
      </c>
      <c r="K235" s="178">
        <f t="shared" si="73"/>
        <v>0</v>
      </c>
      <c r="L235" s="2"/>
      <c r="M235" s="2"/>
      <c r="N235" s="2"/>
      <c r="O235" s="101"/>
      <c r="P235" s="2"/>
      <c r="Q235" s="1"/>
      <c r="R235" s="2"/>
      <c r="S235" s="2"/>
      <c r="T235" s="2"/>
      <c r="U235" s="34" t="s">
        <v>35</v>
      </c>
      <c r="V235" s="176">
        <f t="shared" ref="V235:Z235" si="74">EXP(V228+Y202)/SUMPRODUCT(EXP($V228:$Z228+$Y202:$AC202))
</f>
        <v>0.4367693893</v>
      </c>
      <c r="W235" s="177">
        <f t="shared" si="74"/>
        <v>0.5632306107</v>
      </c>
      <c r="X235" s="177">
        <f t="shared" si="74"/>
        <v>0</v>
      </c>
      <c r="Y235" s="177">
        <f t="shared" si="74"/>
        <v>0</v>
      </c>
      <c r="Z235" s="178">
        <f t="shared" si="74"/>
        <v>0</v>
      </c>
      <c r="AA235" s="2"/>
      <c r="AB235" s="2"/>
      <c r="AC235" s="2"/>
    </row>
    <row r="236">
      <c r="B236" s="1"/>
      <c r="C236" s="2"/>
      <c r="D236" s="2"/>
      <c r="E236" s="2"/>
      <c r="F236" s="67"/>
      <c r="G236" s="176">
        <f t="shared" ref="G236:K236" si="75">EXP(G229+Y203)/SUMPRODUCT(EXP($G229:$K229+$Y203:$AC203))
</f>
        <v>0.1775155911</v>
      </c>
      <c r="H236" s="177">
        <f t="shared" si="75"/>
        <v>0.6060700716</v>
      </c>
      <c r="I236" s="177">
        <f t="shared" si="75"/>
        <v>0.2164143373</v>
      </c>
      <c r="J236" s="177">
        <f t="shared" si="75"/>
        <v>0</v>
      </c>
      <c r="K236" s="178">
        <f t="shared" si="75"/>
        <v>0</v>
      </c>
      <c r="L236" s="2"/>
      <c r="M236" s="2"/>
      <c r="N236" s="2"/>
      <c r="O236" s="101"/>
      <c r="P236" s="2"/>
      <c r="Q236" s="1"/>
      <c r="R236" s="2"/>
      <c r="S236" s="2"/>
      <c r="T236" s="2"/>
      <c r="U236" s="67"/>
      <c r="V236" s="176">
        <f t="shared" ref="V236:Z236" si="76">EXP(V229+Y203)/SUMPRODUCT(EXP($V229:$Z229+$Y203:$AC203))
</f>
        <v>0.7568240744</v>
      </c>
      <c r="W236" s="177">
        <f t="shared" si="76"/>
        <v>0.08134858441</v>
      </c>
      <c r="X236" s="177">
        <f t="shared" si="76"/>
        <v>0.1618273411</v>
      </c>
      <c r="Y236" s="177">
        <f t="shared" si="76"/>
        <v>0</v>
      </c>
      <c r="Z236" s="178">
        <f t="shared" si="76"/>
        <v>0</v>
      </c>
      <c r="AA236" s="2"/>
      <c r="AB236" s="2"/>
      <c r="AC236" s="2"/>
    </row>
    <row r="237">
      <c r="B237" s="1"/>
      <c r="C237" s="2"/>
      <c r="D237" s="2"/>
      <c r="E237" s="2"/>
      <c r="F237" s="94"/>
      <c r="G237" s="176">
        <f t="shared" ref="G237:K237" si="77">EXP(G230+Y204)/SUMPRODUCT(EXP($G230:$K230+$Y204:$AC204))
</f>
        <v>0.0006384071071</v>
      </c>
      <c r="H237" s="177">
        <f t="shared" si="77"/>
        <v>0.01593863935</v>
      </c>
      <c r="I237" s="177">
        <f t="shared" si="77"/>
        <v>0.03433878205</v>
      </c>
      <c r="J237" s="177">
        <f t="shared" si="77"/>
        <v>0.9490841715</v>
      </c>
      <c r="K237" s="178">
        <f t="shared" si="77"/>
        <v>0</v>
      </c>
      <c r="L237" s="2"/>
      <c r="M237" s="2"/>
      <c r="N237" s="2"/>
      <c r="O237" s="101"/>
      <c r="P237" s="21"/>
      <c r="Q237" s="2"/>
      <c r="R237" s="2"/>
      <c r="S237" s="2"/>
      <c r="T237" s="2"/>
      <c r="U237" s="2"/>
      <c r="V237" s="176">
        <f t="shared" ref="V237:Z237" si="78">EXP(V230+Y204)/SUMPRODUCT(EXP($V230:$Z230+$Y204:$AC204))
</f>
        <v>0.9848488397</v>
      </c>
      <c r="W237" s="177">
        <f t="shared" si="78"/>
        <v>0.009246912484</v>
      </c>
      <c r="X237" s="177">
        <f t="shared" si="78"/>
        <v>0.0001383197534</v>
      </c>
      <c r="Y237" s="177">
        <f t="shared" si="78"/>
        <v>0.00576592811</v>
      </c>
      <c r="Z237" s="178">
        <f t="shared" si="78"/>
        <v>0</v>
      </c>
      <c r="AA237" s="2"/>
      <c r="AB237" s="2"/>
      <c r="AC237" s="2"/>
    </row>
    <row r="238">
      <c r="B238" s="1"/>
      <c r="C238" s="2"/>
      <c r="D238" s="2"/>
      <c r="E238" s="2"/>
      <c r="F238" s="42"/>
      <c r="G238" s="179">
        <f t="shared" ref="G238:K238" si="79">EXP(G231+Y205)/SUMPRODUCT(EXP($G231:$K231+$Y205:$AC205))
</f>
        <v>0.3015240457</v>
      </c>
      <c r="H238" s="180">
        <f t="shared" si="79"/>
        <v>0.05681573183</v>
      </c>
      <c r="I238" s="180">
        <f t="shared" si="79"/>
        <v>0.2708701409</v>
      </c>
      <c r="J238" s="180">
        <f t="shared" si="79"/>
        <v>0.3668440567</v>
      </c>
      <c r="K238" s="181">
        <f t="shared" si="79"/>
        <v>0.003946024922</v>
      </c>
      <c r="L238" s="2"/>
      <c r="M238" s="2"/>
      <c r="N238" s="2"/>
      <c r="O238" s="101"/>
      <c r="P238" s="2"/>
      <c r="Q238" s="2"/>
      <c r="R238" s="2"/>
      <c r="S238" s="2"/>
      <c r="T238" s="2"/>
      <c r="U238" s="2"/>
      <c r="V238" s="179">
        <f t="shared" ref="V238:Z238" si="80">EXP(V231+Y205)/SUMPRODUCT(EXP($V231:$Z231+$Y205:$AC205))
</f>
        <v>0.0434541087</v>
      </c>
      <c r="W238" s="180">
        <f t="shared" si="80"/>
        <v>0.02654265533</v>
      </c>
      <c r="X238" s="180">
        <f t="shared" si="80"/>
        <v>0.3614280299</v>
      </c>
      <c r="Y238" s="180">
        <f t="shared" si="80"/>
        <v>0.5685751456</v>
      </c>
      <c r="Z238" s="181">
        <f t="shared" si="80"/>
        <v>0.00000006056739095</v>
      </c>
      <c r="AA238" s="2"/>
      <c r="AB238" s="2"/>
      <c r="AC238" s="2"/>
    </row>
    <row r="239">
      <c r="B239" s="1"/>
      <c r="C239" s="2"/>
      <c r="D239" s="2"/>
      <c r="E239" s="2"/>
      <c r="F239" s="2"/>
      <c r="G239" s="2"/>
      <c r="H239" s="2"/>
      <c r="I239" s="98" t="s">
        <v>3</v>
      </c>
      <c r="J239" s="2"/>
      <c r="K239" s="2"/>
      <c r="L239" s="2"/>
      <c r="M239" s="2"/>
      <c r="N239" s="2"/>
      <c r="O239" s="101"/>
      <c r="P239" s="2"/>
      <c r="Q239" s="2"/>
      <c r="R239" s="2"/>
      <c r="S239" s="2"/>
      <c r="T239" s="2"/>
      <c r="U239" s="2"/>
      <c r="V239" s="2"/>
      <c r="W239" s="2"/>
      <c r="X239" s="98" t="s">
        <v>3</v>
      </c>
      <c r="Y239" s="2"/>
      <c r="Z239" s="2"/>
      <c r="AA239" s="2"/>
      <c r="AB239" s="2"/>
      <c r="AC239" s="2"/>
    </row>
    <row r="240">
      <c r="B240" s="1"/>
      <c r="C240" s="2"/>
      <c r="D240" s="2"/>
      <c r="E240" s="2"/>
      <c r="F240" s="2"/>
      <c r="G240" s="2"/>
      <c r="H240" s="2"/>
      <c r="I240" s="98" t="s">
        <v>3</v>
      </c>
      <c r="J240" s="2"/>
      <c r="K240" s="2"/>
      <c r="L240" s="2"/>
      <c r="M240" s="2"/>
      <c r="N240" s="2"/>
      <c r="O240" s="101"/>
      <c r="P240" s="2"/>
      <c r="Q240" s="2"/>
      <c r="R240" s="2"/>
      <c r="S240" s="2"/>
      <c r="T240" s="2"/>
      <c r="U240" s="2"/>
      <c r="V240" s="2"/>
      <c r="W240" s="2"/>
      <c r="X240" s="98" t="s">
        <v>3</v>
      </c>
      <c r="Y240" s="2"/>
      <c r="Z240" s="2"/>
      <c r="AA240" s="2"/>
      <c r="AB240" s="2"/>
      <c r="AC240" s="2"/>
    </row>
    <row r="241">
      <c r="B241" s="1"/>
      <c r="C241" s="2"/>
      <c r="D241" s="2"/>
      <c r="E241" s="2"/>
      <c r="F241" s="66" t="s">
        <v>54</v>
      </c>
      <c r="G241" s="7">
        <f t="array" ref="G241:K245">MMULT(J220:N224,G234:K238)</f>
        <v>0.5788353219</v>
      </c>
      <c r="H241" s="8">
        <v>-0.8801803731767553</v>
      </c>
      <c r="I241" s="8">
        <v>0.6839921486620179</v>
      </c>
      <c r="J241" s="8">
        <v>2.7070448957492785</v>
      </c>
      <c r="K241" s="9">
        <v>0.013390617551893294</v>
      </c>
      <c r="L241" s="2"/>
      <c r="M241" s="2"/>
      <c r="N241" s="2"/>
      <c r="O241" s="101"/>
      <c r="P241" s="2"/>
      <c r="Q241" s="2"/>
      <c r="R241" s="2"/>
      <c r="S241" s="2"/>
      <c r="T241" s="2"/>
      <c r="U241" s="66" t="s">
        <v>55</v>
      </c>
      <c r="V241" s="7">
        <f t="array" ref="V241:Z245">MMULT(Y220:AC224,V234:Z238)</f>
        <v>-2.061819704</v>
      </c>
      <c r="W241" s="8">
        <v>-0.3438330082025187</v>
      </c>
      <c r="X241" s="8">
        <v>0.5191843355373267</v>
      </c>
      <c r="Y241" s="8">
        <v>1.541392272661846</v>
      </c>
      <c r="Z241" s="9">
        <v>1.6550398657580527E-7</v>
      </c>
      <c r="AA241" s="2"/>
      <c r="AB241" s="2"/>
      <c r="AC241" s="2"/>
    </row>
    <row r="242">
      <c r="B242" s="1"/>
      <c r="C242" s="2"/>
      <c r="D242" s="2"/>
      <c r="E242" s="2"/>
      <c r="F242" s="2"/>
      <c r="G242" s="11">
        <v>10.346792716765219</v>
      </c>
      <c r="H242" s="10">
        <v>1.8318694053333333</v>
      </c>
      <c r="I242" s="10">
        <v>1.2303789466184407</v>
      </c>
      <c r="J242" s="10">
        <v>-1.5530073663911514</v>
      </c>
      <c r="K242" s="12">
        <v>0.016913611684302846</v>
      </c>
      <c r="L242" s="2"/>
      <c r="M242" s="2"/>
      <c r="N242" s="2"/>
      <c r="O242" s="101"/>
      <c r="P242" s="2"/>
      <c r="Q242" s="2"/>
      <c r="R242" s="2"/>
      <c r="S242" s="2"/>
      <c r="T242" s="2"/>
      <c r="U242" s="2"/>
      <c r="V242" s="11">
        <v>2.7099167806451807</v>
      </c>
      <c r="W242" s="10">
        <v>0.9353669480310837</v>
      </c>
      <c r="X242" s="10">
        <v>0.2252598783981424</v>
      </c>
      <c r="Y242" s="10">
        <v>-0.05467766812235076</v>
      </c>
      <c r="Z242" s="12">
        <v>-6.8518393395243275E-9</v>
      </c>
      <c r="AA242" s="2"/>
      <c r="AB242" s="2"/>
      <c r="AC242" s="2"/>
    </row>
    <row r="243">
      <c r="B243" s="1"/>
      <c r="C243" s="2"/>
      <c r="D243" s="2"/>
      <c r="E243" s="2"/>
      <c r="F243" s="2"/>
      <c r="G243" s="11">
        <v>-4.491662897489894</v>
      </c>
      <c r="H243" s="10">
        <v>-1.3785572754530773</v>
      </c>
      <c r="I243" s="10">
        <v>-0.4576902620036555</v>
      </c>
      <c r="J243" s="10">
        <v>0.39374051289501966</v>
      </c>
      <c r="K243" s="12">
        <v>-0.0028893830787262453</v>
      </c>
      <c r="L243" s="2"/>
      <c r="M243" s="2"/>
      <c r="N243" s="2"/>
      <c r="O243" s="101"/>
      <c r="P243" s="2"/>
      <c r="Q243" s="2"/>
      <c r="R243" s="2"/>
      <c r="S243" s="2"/>
      <c r="T243" s="2"/>
      <c r="U243" s="2"/>
      <c r="V243" s="11">
        <v>2.5780537766096785</v>
      </c>
      <c r="W243" s="10">
        <v>0.044479838676890156</v>
      </c>
      <c r="X243" s="10">
        <v>0.9157612642139213</v>
      </c>
      <c r="Y243" s="10">
        <v>1.4890789188004</v>
      </c>
      <c r="Z243" s="12">
        <v>1.5741614462011288E-7</v>
      </c>
      <c r="AA243" s="2"/>
      <c r="AB243" s="2"/>
      <c r="AC243" s="2"/>
    </row>
    <row r="244">
      <c r="B244" s="1"/>
      <c r="C244" s="2"/>
      <c r="D244" s="2"/>
      <c r="E244" s="2"/>
      <c r="F244" s="2"/>
      <c r="G244" s="11">
        <v>-2.4468975532807806</v>
      </c>
      <c r="H244" s="10">
        <v>-0.4232769023435986</v>
      </c>
      <c r="I244" s="10">
        <v>-0.13321814523265244</v>
      </c>
      <c r="J244" s="10">
        <v>1.8294734793258118</v>
      </c>
      <c r="K244" s="12">
        <v>-0.0028292758446544575</v>
      </c>
      <c r="L244" s="2"/>
      <c r="M244" s="2"/>
      <c r="N244" s="2"/>
      <c r="O244" s="101"/>
      <c r="P244" s="2"/>
      <c r="Q244" s="2"/>
      <c r="R244" s="2"/>
      <c r="S244" s="2"/>
      <c r="T244" s="2"/>
      <c r="U244" s="2"/>
      <c r="V244" s="11">
        <v>0.7269727410638439</v>
      </c>
      <c r="W244" s="10">
        <v>0.22235763761273966</v>
      </c>
      <c r="X244" s="10">
        <v>0.05769867932085272</v>
      </c>
      <c r="Y244" s="10">
        <v>-0.03922122564486209</v>
      </c>
      <c r="Z244" s="12">
        <v>-3.84751675043647E-9</v>
      </c>
      <c r="AA244" s="2"/>
      <c r="AB244" s="2"/>
      <c r="AC244" s="2"/>
    </row>
    <row r="245">
      <c r="B245" s="1"/>
      <c r="C245" s="2"/>
      <c r="D245" s="2"/>
      <c r="E245" s="2"/>
      <c r="F245" s="2"/>
      <c r="G245" s="13">
        <v>0.6178321026143985</v>
      </c>
      <c r="H245" s="14">
        <v>-1.153146398661328</v>
      </c>
      <c r="I245" s="14">
        <v>0.6880173782218928</v>
      </c>
      <c r="J245" s="14">
        <v>2.343159101281049</v>
      </c>
      <c r="K245" s="15">
        <v>0.015975155060791134</v>
      </c>
      <c r="L245" s="2"/>
      <c r="M245" s="2"/>
      <c r="N245" s="2"/>
      <c r="O245" s="101"/>
      <c r="P245" s="2"/>
      <c r="Q245" s="2"/>
      <c r="R245" s="2"/>
      <c r="S245" s="2"/>
      <c r="T245" s="2"/>
      <c r="U245" s="2"/>
      <c r="V245" s="13">
        <v>6.1733671876159395</v>
      </c>
      <c r="W245" s="14">
        <v>1.278106572733501</v>
      </c>
      <c r="X245" s="14">
        <v>0.8152215738708162</v>
      </c>
      <c r="Y245" s="14">
        <v>0.23839320850867507</v>
      </c>
      <c r="Z245" s="15">
        <v>2.4893460435596984E-8</v>
      </c>
      <c r="AA245" s="2"/>
      <c r="AB245" s="2"/>
      <c r="AC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01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01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01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01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01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47" t="s">
        <v>56</v>
      </c>
      <c r="AA251" s="48"/>
      <c r="AB251" s="48"/>
      <c r="AC251" s="48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3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3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3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3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3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3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B258" s="1"/>
      <c r="C258" s="129" t="s">
        <v>54</v>
      </c>
      <c r="D258" s="2"/>
      <c r="E258" s="2"/>
      <c r="F258" s="2"/>
      <c r="G258" s="2"/>
      <c r="H258" s="2"/>
      <c r="I258" s="129" t="s">
        <v>55</v>
      </c>
      <c r="J258" s="2"/>
      <c r="K258" s="2"/>
      <c r="L258" s="2"/>
      <c r="M258" s="2"/>
      <c r="N258" s="2"/>
      <c r="O258" s="182" t="s">
        <v>57</v>
      </c>
      <c r="P258" s="42"/>
      <c r="Q258" s="42"/>
      <c r="R258" s="42"/>
      <c r="S258" s="4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C259" s="7">
        <f t="array" ref="C259:G263">G241:K245</f>
        <v>0.5788353219</v>
      </c>
      <c r="D259" s="8">
        <v>-0.8801803731767553</v>
      </c>
      <c r="E259" s="8">
        <v>0.6839921486620179</v>
      </c>
      <c r="F259" s="8">
        <v>2.7070448957492785</v>
      </c>
      <c r="G259" s="9">
        <v>0.013390617551893294</v>
      </c>
      <c r="H259" s="2"/>
      <c r="I259" s="7">
        <f t="array" ref="I259:M263">V241:Z245</f>
        <v>-2.061819704</v>
      </c>
      <c r="J259" s="8">
        <v>-0.3438330082025187</v>
      </c>
      <c r="K259" s="8">
        <v>0.5191843355373267</v>
      </c>
      <c r="L259" s="8">
        <v>1.541392272661846</v>
      </c>
      <c r="M259" s="9">
        <v>1.6550398657580527E-7</v>
      </c>
      <c r="N259" s="2"/>
      <c r="O259" s="183">
        <f t="shared" ref="O259:S259" si="81">NORMINV(rand(),0,2)</f>
        <v>-1.353100236</v>
      </c>
      <c r="P259" s="122">
        <f t="shared" si="81"/>
        <v>0.488479274</v>
      </c>
      <c r="Q259" s="122">
        <f t="shared" si="81"/>
        <v>0.9238830438</v>
      </c>
      <c r="R259" s="122">
        <f t="shared" si="81"/>
        <v>-3.010864265</v>
      </c>
      <c r="S259" s="184">
        <f t="shared" si="81"/>
        <v>-0.6159569556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B260" s="2"/>
      <c r="C260" s="11">
        <v>10.346792716765219</v>
      </c>
      <c r="D260" s="10">
        <v>1.8318694053333333</v>
      </c>
      <c r="E260" s="10">
        <v>1.2303789466184407</v>
      </c>
      <c r="F260" s="10">
        <v>-1.5530073663911514</v>
      </c>
      <c r="G260" s="12">
        <v>0.016913611684302846</v>
      </c>
      <c r="H260" s="2"/>
      <c r="I260" s="11">
        <v>2.7099167806451807</v>
      </c>
      <c r="J260" s="10">
        <v>0.9353669480310837</v>
      </c>
      <c r="K260" s="10">
        <v>0.2252598783981424</v>
      </c>
      <c r="L260" s="10">
        <v>-0.05467766812235076</v>
      </c>
      <c r="M260" s="12">
        <v>-6.8518393395243275E-9</v>
      </c>
      <c r="N260" s="21" t="s">
        <v>58</v>
      </c>
      <c r="O260" s="185">
        <f t="shared" ref="O260:S260" si="82">NORMINV(rand(),0,2)</f>
        <v>-1.122550355</v>
      </c>
      <c r="P260" s="186">
        <f t="shared" si="82"/>
        <v>0.3008581805</v>
      </c>
      <c r="Q260" s="186">
        <f t="shared" si="82"/>
        <v>3.446799361</v>
      </c>
      <c r="R260" s="186">
        <f t="shared" si="82"/>
        <v>3.52399053</v>
      </c>
      <c r="S260" s="187">
        <f t="shared" si="82"/>
        <v>-2.311842142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B261" s="2"/>
      <c r="C261" s="11">
        <v>-4.491662897489894</v>
      </c>
      <c r="D261" s="10">
        <v>-1.3785572754530773</v>
      </c>
      <c r="E261" s="10">
        <v>-0.4576902620036555</v>
      </c>
      <c r="F261" s="10">
        <v>0.39374051289501966</v>
      </c>
      <c r="G261" s="12">
        <v>-0.0028893830787262453</v>
      </c>
      <c r="H261" s="2"/>
      <c r="I261" s="11">
        <v>2.5780537766096785</v>
      </c>
      <c r="J261" s="10">
        <v>0.044479838676890156</v>
      </c>
      <c r="K261" s="10">
        <v>0.9157612642139213</v>
      </c>
      <c r="L261" s="10">
        <v>1.4890789188004</v>
      </c>
      <c r="M261" s="12">
        <v>1.5741614462011288E-7</v>
      </c>
      <c r="N261" s="2"/>
      <c r="O261" s="185">
        <f t="shared" ref="O261:S261" si="83">NORMINV(rand(),0,2)</f>
        <v>-2.681141926</v>
      </c>
      <c r="P261" s="186">
        <f t="shared" si="83"/>
        <v>1.252875258</v>
      </c>
      <c r="Q261" s="186">
        <f t="shared" si="83"/>
        <v>0.4358133009</v>
      </c>
      <c r="R261" s="186">
        <f t="shared" si="83"/>
        <v>-2.453471975</v>
      </c>
      <c r="S261" s="187">
        <f t="shared" si="83"/>
        <v>-3.890427236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B262" s="2"/>
      <c r="C262" s="11">
        <v>-2.4468975532807806</v>
      </c>
      <c r="D262" s="10">
        <v>-0.4232769023435986</v>
      </c>
      <c r="E262" s="10">
        <v>-0.13321814523265244</v>
      </c>
      <c r="F262" s="10">
        <v>1.8294734793258118</v>
      </c>
      <c r="G262" s="12">
        <v>-0.0028292758446544575</v>
      </c>
      <c r="H262" s="2"/>
      <c r="I262" s="11">
        <v>0.7269727410638439</v>
      </c>
      <c r="J262" s="10">
        <v>0.22235763761273966</v>
      </c>
      <c r="K262" s="10">
        <v>0.05769867932085272</v>
      </c>
      <c r="L262" s="10">
        <v>-0.03922122564486209</v>
      </c>
      <c r="M262" s="12">
        <v>-3.84751675043647E-9</v>
      </c>
      <c r="N262" s="2"/>
      <c r="O262" s="185">
        <f t="shared" ref="O262:S262" si="84">NORMINV(rand(),0,2)</f>
        <v>1.397933844</v>
      </c>
      <c r="P262" s="186">
        <f t="shared" si="84"/>
        <v>-1.718664008</v>
      </c>
      <c r="Q262" s="186">
        <f t="shared" si="84"/>
        <v>-2.539096517</v>
      </c>
      <c r="R262" s="186">
        <f t="shared" si="84"/>
        <v>-0.843213912</v>
      </c>
      <c r="S262" s="187">
        <f t="shared" si="84"/>
        <v>1.557666016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B263" s="2"/>
      <c r="C263" s="13">
        <v>0.6178321026143985</v>
      </c>
      <c r="D263" s="14">
        <v>-1.153146398661328</v>
      </c>
      <c r="E263" s="14">
        <v>0.6880173782218928</v>
      </c>
      <c r="F263" s="14">
        <v>2.343159101281049</v>
      </c>
      <c r="G263" s="15">
        <v>0.015975155060791134</v>
      </c>
      <c r="H263" s="2"/>
      <c r="I263" s="13">
        <v>6.1733671876159395</v>
      </c>
      <c r="J263" s="14">
        <v>1.278106572733501</v>
      </c>
      <c r="K263" s="14">
        <v>0.8152215738708162</v>
      </c>
      <c r="L263" s="14">
        <v>0.23839320850867507</v>
      </c>
      <c r="M263" s="15">
        <v>2.4893460435596984E-8</v>
      </c>
      <c r="N263" s="2"/>
      <c r="O263" s="188">
        <f t="shared" ref="O263:S263" si="85">NORMINV(rand(),0,2)</f>
        <v>-1.320864452</v>
      </c>
      <c r="P263" s="189">
        <f t="shared" si="85"/>
        <v>2.119265022</v>
      </c>
      <c r="Q263" s="189">
        <f t="shared" si="85"/>
        <v>2.966741328</v>
      </c>
      <c r="R263" s="189">
        <f t="shared" si="85"/>
        <v>-1.778708699</v>
      </c>
      <c r="S263" s="190">
        <f t="shared" si="85"/>
        <v>-2.08633929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B264" s="1"/>
      <c r="C264" s="2"/>
      <c r="D264" s="2"/>
      <c r="E264" s="2"/>
      <c r="F264" s="2"/>
      <c r="G264" s="98" t="s">
        <v>3</v>
      </c>
      <c r="H264" s="2"/>
      <c r="I264" s="2"/>
      <c r="J264" s="2"/>
      <c r="K264" s="67" t="s">
        <v>3</v>
      </c>
      <c r="L264" s="2"/>
      <c r="M264" s="2"/>
      <c r="N264" s="2"/>
      <c r="O264" s="3"/>
      <c r="P264" s="67" t="s">
        <v>3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B265" s="1"/>
      <c r="C265" s="2"/>
      <c r="D265" s="2"/>
      <c r="E265" s="2"/>
      <c r="F265" s="2"/>
      <c r="G265" s="98" t="s">
        <v>3</v>
      </c>
      <c r="H265" s="2"/>
      <c r="I265" s="2"/>
      <c r="J265" s="2"/>
      <c r="K265" s="67" t="s">
        <v>3</v>
      </c>
      <c r="L265" s="2"/>
      <c r="M265" s="2"/>
      <c r="N265" s="2"/>
      <c r="O265" s="3"/>
      <c r="P265" s="67" t="s">
        <v>3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B266" s="1"/>
      <c r="C266" s="2"/>
      <c r="D266" s="66" t="s">
        <v>59</v>
      </c>
      <c r="E266" s="7">
        <f t="array" ref="E266:I270">C259:G263</f>
        <v>0.5788353219</v>
      </c>
      <c r="F266" s="8">
        <v>-0.8801803731767553</v>
      </c>
      <c r="G266" s="8">
        <v>0.6839921486620179</v>
      </c>
      <c r="H266" s="8">
        <v>2.7070448957492785</v>
      </c>
      <c r="I266" s="8">
        <v>0.013390617551893294</v>
      </c>
      <c r="J266" s="7">
        <f t="array" ref="J266:N270">I259:M263</f>
        <v>-2.061819704</v>
      </c>
      <c r="K266" s="8">
        <v>-0.3438330082025187</v>
      </c>
      <c r="L266" s="8">
        <v>0.5191843355373267</v>
      </c>
      <c r="M266" s="8">
        <v>1.541392272661846</v>
      </c>
      <c r="N266" s="8">
        <v>1.6550398657580527E-7</v>
      </c>
      <c r="O266" s="7">
        <f t="array" ref="O266:S270">O259:S263</f>
        <v>-1.353100236</v>
      </c>
      <c r="P266" s="8">
        <v>0.4884792739519612</v>
      </c>
      <c r="Q266" s="8">
        <v>0.9238830437607521</v>
      </c>
      <c r="R266" s="8">
        <v>-3.010864264551678</v>
      </c>
      <c r="S266" s="9">
        <v>-0.6159569556327642</v>
      </c>
      <c r="T266" s="2"/>
      <c r="U266" s="2"/>
      <c r="AB266" s="2"/>
      <c r="AC266" s="2"/>
    </row>
    <row r="267">
      <c r="B267" s="1"/>
      <c r="C267" s="2"/>
      <c r="D267" s="2"/>
      <c r="E267" s="11">
        <v>10.346792716765219</v>
      </c>
      <c r="F267" s="10">
        <v>1.8318694053333333</v>
      </c>
      <c r="G267" s="10">
        <v>1.2303789466184407</v>
      </c>
      <c r="H267" s="10">
        <v>-1.5530073663911514</v>
      </c>
      <c r="I267" s="10">
        <v>0.016913611684302846</v>
      </c>
      <c r="J267" s="11">
        <v>2.7099167806451807</v>
      </c>
      <c r="K267" s="10">
        <v>0.9353669480310837</v>
      </c>
      <c r="L267" s="10">
        <v>0.2252598783981424</v>
      </c>
      <c r="M267" s="10">
        <v>-0.05467766812235076</v>
      </c>
      <c r="N267" s="10">
        <v>-6.8518393395243275E-9</v>
      </c>
      <c r="O267" s="11">
        <v>-1.1225503551344902</v>
      </c>
      <c r="P267" s="10">
        <v>0.30085818052034</v>
      </c>
      <c r="Q267" s="10">
        <v>3.4467993608920477</v>
      </c>
      <c r="R267" s="10">
        <v>3.5239905297974357</v>
      </c>
      <c r="S267" s="12">
        <v>-2.3118421423004736</v>
      </c>
      <c r="T267" s="2"/>
      <c r="U267" s="2"/>
      <c r="AB267" s="2"/>
      <c r="AC267" s="2"/>
    </row>
    <row r="268">
      <c r="B268" s="1"/>
      <c r="C268" s="2"/>
      <c r="D268" s="2"/>
      <c r="E268" s="11">
        <v>-4.491662897489894</v>
      </c>
      <c r="F268" s="10">
        <v>-1.3785572754530773</v>
      </c>
      <c r="G268" s="10">
        <v>-0.4576902620036555</v>
      </c>
      <c r="H268" s="10">
        <v>0.39374051289501966</v>
      </c>
      <c r="I268" s="10">
        <v>-0.0028893830787262453</v>
      </c>
      <c r="J268" s="11">
        <v>2.5780537766096785</v>
      </c>
      <c r="K268" s="10">
        <v>0.044479838676890156</v>
      </c>
      <c r="L268" s="10">
        <v>0.9157612642139213</v>
      </c>
      <c r="M268" s="10">
        <v>1.4890789188004</v>
      </c>
      <c r="N268" s="10">
        <v>1.5741614462011288E-7</v>
      </c>
      <c r="O268" s="11">
        <v>-2.681141926022922</v>
      </c>
      <c r="P268" s="10">
        <v>1.252875257583706</v>
      </c>
      <c r="Q268" s="10">
        <v>0.43581330090120435</v>
      </c>
      <c r="R268" s="10">
        <v>-2.4534719753762517</v>
      </c>
      <c r="S268" s="12">
        <v>-3.8904272359734446</v>
      </c>
      <c r="T268" s="2"/>
      <c r="U268" s="2"/>
      <c r="AB268" s="2"/>
      <c r="AC268" s="2"/>
    </row>
    <row r="269">
      <c r="B269" s="1"/>
      <c r="C269" s="2"/>
      <c r="D269" s="2"/>
      <c r="E269" s="11">
        <v>-2.4468975532807806</v>
      </c>
      <c r="F269" s="10">
        <v>-0.4232769023435986</v>
      </c>
      <c r="G269" s="10">
        <v>-0.13321814523265244</v>
      </c>
      <c r="H269" s="10">
        <v>1.8294734793258118</v>
      </c>
      <c r="I269" s="10">
        <v>-0.0028292758446544575</v>
      </c>
      <c r="J269" s="11">
        <v>0.7269727410638439</v>
      </c>
      <c r="K269" s="10">
        <v>0.22235763761273966</v>
      </c>
      <c r="L269" s="10">
        <v>0.05769867932085272</v>
      </c>
      <c r="M269" s="10">
        <v>-0.03922122564486209</v>
      </c>
      <c r="N269" s="10">
        <v>-3.84751675043647E-9</v>
      </c>
      <c r="O269" s="11">
        <v>1.3979338438545217</v>
      </c>
      <c r="P269" s="10">
        <v>-1.718664008474527</v>
      </c>
      <c r="Q269" s="10">
        <v>-2.539096517020217</v>
      </c>
      <c r="R269" s="10">
        <v>-0.8432139119765568</v>
      </c>
      <c r="S269" s="12">
        <v>1.5576660162186102</v>
      </c>
      <c r="T269" s="2"/>
      <c r="U269" s="2"/>
      <c r="AB269" s="2"/>
      <c r="AC269" s="2"/>
    </row>
    <row r="270">
      <c r="B270" s="1"/>
      <c r="C270" s="2"/>
      <c r="D270" s="2"/>
      <c r="E270" s="13">
        <v>0.6178321026143985</v>
      </c>
      <c r="F270" s="14">
        <v>-1.153146398661328</v>
      </c>
      <c r="G270" s="14">
        <v>0.6880173782218928</v>
      </c>
      <c r="H270" s="14">
        <v>2.343159101281049</v>
      </c>
      <c r="I270" s="14">
        <v>0.015975155060791134</v>
      </c>
      <c r="J270" s="13">
        <v>6.1733671876159395</v>
      </c>
      <c r="K270" s="14">
        <v>1.278106572733501</v>
      </c>
      <c r="L270" s="14">
        <v>0.8152215738708162</v>
      </c>
      <c r="M270" s="14">
        <v>0.23839320850867507</v>
      </c>
      <c r="N270" s="14">
        <v>2.4893460435596984E-8</v>
      </c>
      <c r="O270" s="13">
        <v>-1.3208644515903238</v>
      </c>
      <c r="P270" s="14">
        <v>2.119265022346213</v>
      </c>
      <c r="Q270" s="14">
        <v>2.9667413282897086</v>
      </c>
      <c r="R270" s="14">
        <v>-1.7787086986635925</v>
      </c>
      <c r="S270" s="15">
        <v>-2.086339290090271</v>
      </c>
      <c r="T270" s="2"/>
      <c r="U270" s="2"/>
      <c r="AB270" s="2"/>
      <c r="AC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67" t="s">
        <v>3</v>
      </c>
      <c r="O271" s="3"/>
      <c r="P271" s="2"/>
      <c r="Q271" s="2"/>
      <c r="R271" s="2"/>
      <c r="S271" s="2"/>
      <c r="T271" s="2"/>
      <c r="U271" s="2"/>
      <c r="AB271" s="2"/>
      <c r="AC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67" t="s">
        <v>3</v>
      </c>
      <c r="O272" s="3"/>
      <c r="P272" s="2"/>
      <c r="Q272" s="2"/>
      <c r="R272" s="2"/>
      <c r="S272" s="2"/>
      <c r="T272" s="2"/>
      <c r="U272" s="2"/>
      <c r="AB272" s="2"/>
      <c r="AC272" s="2"/>
    </row>
    <row r="273">
      <c r="B273" s="1"/>
      <c r="C273" s="2"/>
      <c r="D273" s="66" t="s">
        <v>60</v>
      </c>
      <c r="E273" s="7">
        <f t="shared" ref="E273:I273" si="86">NORMINV(rand(),0, 1)</f>
        <v>-0.8975067338</v>
      </c>
      <c r="F273" s="8">
        <f t="shared" si="86"/>
        <v>-1.578135017</v>
      </c>
      <c r="G273" s="8">
        <f t="shared" si="86"/>
        <v>-0.2147324656</v>
      </c>
      <c r="H273" s="8">
        <f t="shared" si="86"/>
        <v>-0.4611695922</v>
      </c>
      <c r="I273" s="9">
        <f t="shared" si="86"/>
        <v>0.1402026126</v>
      </c>
      <c r="J273" s="2"/>
      <c r="K273" s="66" t="s">
        <v>61</v>
      </c>
      <c r="L273" s="191">
        <f t="array" ref="L273:P277">MMULT(E266:S270, E273:I287)</f>
        <v>2.106836548</v>
      </c>
      <c r="M273" s="8">
        <v>-1.904472023224448</v>
      </c>
      <c r="N273" s="8">
        <v>2.1911040202187166</v>
      </c>
      <c r="O273" s="8">
        <v>-0.6567708224057575</v>
      </c>
      <c r="P273" s="9">
        <v>8.812447007725238</v>
      </c>
      <c r="Q273" s="10"/>
      <c r="R273" s="10"/>
      <c r="S273" s="10"/>
      <c r="T273" s="10"/>
      <c r="U273" s="10"/>
      <c r="V273" s="192"/>
      <c r="W273" s="192"/>
      <c r="X273" s="192"/>
      <c r="Y273" s="192"/>
      <c r="Z273" s="192"/>
      <c r="AB273" s="2"/>
      <c r="AC273" s="2"/>
    </row>
    <row r="274">
      <c r="B274" s="1"/>
      <c r="C274" s="2"/>
      <c r="D274" s="2"/>
      <c r="E274" s="11">
        <f t="shared" ref="E274:I274" si="87">NORMINV(rand(),0, 1)</f>
        <v>0.1604923955</v>
      </c>
      <c r="F274" s="10">
        <f t="shared" si="87"/>
        <v>-1.528507549</v>
      </c>
      <c r="G274" s="10">
        <f t="shared" si="87"/>
        <v>-1.392700348</v>
      </c>
      <c r="H274" s="10">
        <f t="shared" si="87"/>
        <v>-2.188689412</v>
      </c>
      <c r="I274" s="12">
        <f t="shared" si="87"/>
        <v>0.3620321864</v>
      </c>
      <c r="J274" s="2"/>
      <c r="K274" s="2"/>
      <c r="L274" s="11">
        <v>-15.163863615509467</v>
      </c>
      <c r="M274" s="10">
        <v>-16.734213156100566</v>
      </c>
      <c r="N274" s="10">
        <v>-5.730779693982287</v>
      </c>
      <c r="O274" s="10">
        <v>-4.915610050725552</v>
      </c>
      <c r="P274" s="12">
        <v>-5.59687145102985</v>
      </c>
      <c r="Q274" s="10"/>
      <c r="R274" s="10"/>
      <c r="S274" s="10"/>
      <c r="T274" s="10"/>
      <c r="U274" s="10"/>
      <c r="V274" s="192"/>
      <c r="W274" s="192"/>
      <c r="X274" s="192"/>
      <c r="Y274" s="192"/>
      <c r="Z274" s="192"/>
      <c r="AB274" s="2"/>
      <c r="AC274" s="2"/>
    </row>
    <row r="275">
      <c r="B275" s="1"/>
      <c r="C275" s="2"/>
      <c r="D275" s="2"/>
      <c r="E275" s="11">
        <f t="shared" ref="E275:I275" si="88">NORMINV(rand(),0, 1)</f>
        <v>0.1679059638</v>
      </c>
      <c r="F275" s="10">
        <f t="shared" si="88"/>
        <v>1.268861373</v>
      </c>
      <c r="G275" s="10">
        <f t="shared" si="88"/>
        <v>-1.377618671</v>
      </c>
      <c r="H275" s="10">
        <f t="shared" si="88"/>
        <v>-0.7755710684</v>
      </c>
      <c r="I275" s="12">
        <f t="shared" si="88"/>
        <v>0.07245097548</v>
      </c>
      <c r="J275" s="67" t="s">
        <v>7</v>
      </c>
      <c r="K275" s="67" t="s">
        <v>7</v>
      </c>
      <c r="L275" s="11">
        <v>0.08918504519013304</v>
      </c>
      <c r="M275" s="10">
        <v>15.629102623147698</v>
      </c>
      <c r="N275" s="10">
        <v>2.474423873302272</v>
      </c>
      <c r="O275" s="10">
        <v>5.165946495178931</v>
      </c>
      <c r="P275" s="12">
        <v>8.79956825826368</v>
      </c>
      <c r="Q275" s="10"/>
      <c r="R275" s="10"/>
      <c r="S275" s="10"/>
      <c r="T275" s="10"/>
      <c r="U275" s="10"/>
      <c r="V275" s="192"/>
      <c r="W275" s="192"/>
      <c r="X275" s="192"/>
      <c r="Y275" s="192"/>
      <c r="Z275" s="192"/>
      <c r="AB275" s="2"/>
      <c r="AC275" s="2"/>
    </row>
    <row r="276">
      <c r="B276" s="1"/>
      <c r="C276" s="2"/>
      <c r="D276" s="2"/>
      <c r="E276" s="11">
        <f t="shared" ref="E276:I276" si="89">NORMINV(rand(),0, 1)</f>
        <v>1.193554927</v>
      </c>
      <c r="F276" s="10">
        <f t="shared" si="89"/>
        <v>1.103794974</v>
      </c>
      <c r="G276" s="10">
        <f t="shared" si="89"/>
        <v>-0.570594997</v>
      </c>
      <c r="H276" s="10">
        <f t="shared" si="89"/>
        <v>0.4554721856</v>
      </c>
      <c r="I276" s="12">
        <f t="shared" si="89"/>
        <v>1.689155561</v>
      </c>
      <c r="J276" s="2"/>
      <c r="K276" s="2"/>
      <c r="L276" s="11">
        <v>8.596771131489279</v>
      </c>
      <c r="M276" s="10">
        <v>11.36396193698959</v>
      </c>
      <c r="N276" s="10">
        <v>-5.695753914348806</v>
      </c>
      <c r="O276" s="10">
        <v>1.592576646350835</v>
      </c>
      <c r="P276" s="12">
        <v>3.1707405945977865</v>
      </c>
      <c r="Q276" s="10"/>
      <c r="R276" s="10"/>
      <c r="S276" s="10"/>
      <c r="T276" s="10"/>
      <c r="U276" s="10"/>
      <c r="V276" s="192"/>
      <c r="W276" s="192"/>
      <c r="X276" s="192"/>
      <c r="Y276" s="192"/>
      <c r="Z276" s="192"/>
      <c r="AB276" s="2"/>
      <c r="AC276" s="2"/>
    </row>
    <row r="277">
      <c r="B277" s="1"/>
      <c r="C277" s="2"/>
      <c r="D277" s="2"/>
      <c r="E277" s="11">
        <f t="shared" ref="E277:I277" si="90">NORMINV(rand(),0, 1)</f>
        <v>-0.6841765452</v>
      </c>
      <c r="F277" s="10">
        <f t="shared" si="90"/>
        <v>-0.1088205153</v>
      </c>
      <c r="G277" s="10">
        <f t="shared" si="90"/>
        <v>0.4357664498</v>
      </c>
      <c r="H277" s="10">
        <f t="shared" si="90"/>
        <v>2.097200913</v>
      </c>
      <c r="I277" s="12">
        <f t="shared" si="90"/>
        <v>0.4608566578</v>
      </c>
      <c r="J277" s="2"/>
      <c r="K277" s="2"/>
      <c r="L277" s="13">
        <v>10.625538746212026</v>
      </c>
      <c r="M277" s="14">
        <v>3.464200745851523</v>
      </c>
      <c r="N277" s="14">
        <v>2.334473296258886</v>
      </c>
      <c r="O277" s="14">
        <v>2.7545176876424717</v>
      </c>
      <c r="P277" s="15">
        <v>10.791125269196677</v>
      </c>
      <c r="Q277" s="10"/>
      <c r="R277" s="10"/>
      <c r="S277" s="10"/>
      <c r="T277" s="10"/>
      <c r="U277" s="10"/>
      <c r="V277" s="192"/>
      <c r="W277" s="192"/>
      <c r="X277" s="192"/>
      <c r="Y277" s="192"/>
      <c r="Z277" s="192"/>
      <c r="AB277" s="2"/>
      <c r="AC277" s="2"/>
    </row>
    <row r="278">
      <c r="B278" s="1"/>
      <c r="C278" s="2"/>
      <c r="D278" s="2"/>
      <c r="E278" s="11">
        <f t="shared" ref="E278:I278" si="91">NORMINV(rand(),0, 1)</f>
        <v>1.15706717</v>
      </c>
      <c r="F278" s="10">
        <f t="shared" si="91"/>
        <v>1.023512126</v>
      </c>
      <c r="G278" s="10">
        <f t="shared" si="91"/>
        <v>-0.4834399694</v>
      </c>
      <c r="H278" s="10">
        <f t="shared" si="91"/>
        <v>0.3743743751</v>
      </c>
      <c r="I278" s="12">
        <f t="shared" si="91"/>
        <v>0.6370639961</v>
      </c>
      <c r="J278" s="2"/>
      <c r="K278" s="2"/>
      <c r="L278" s="10"/>
      <c r="M278" s="10"/>
      <c r="N278" s="10"/>
      <c r="O278" s="18"/>
      <c r="P278" s="10"/>
      <c r="Q278" s="10"/>
      <c r="R278" s="10"/>
      <c r="S278" s="10"/>
      <c r="T278" s="10"/>
      <c r="U278" s="10"/>
      <c r="V278" s="192"/>
      <c r="W278" s="192"/>
      <c r="X278" s="192"/>
      <c r="Y278" s="192"/>
      <c r="Z278" s="192"/>
      <c r="AB278" s="2"/>
      <c r="AC278" s="2"/>
    </row>
    <row r="279">
      <c r="B279" s="1"/>
      <c r="C279" s="2"/>
      <c r="D279" s="2"/>
      <c r="E279" s="11">
        <f t="shared" ref="E279:I279" si="92">NORMINV(rand(),0, 1)</f>
        <v>1.526362532</v>
      </c>
      <c r="F279" s="10">
        <f t="shared" si="92"/>
        <v>0.069079099</v>
      </c>
      <c r="G279" s="10">
        <f t="shared" si="92"/>
        <v>-1.260567689</v>
      </c>
      <c r="H279" s="10">
        <f t="shared" si="92"/>
        <v>-0.3356964381</v>
      </c>
      <c r="I279" s="12">
        <f t="shared" si="92"/>
        <v>-1.502987521</v>
      </c>
      <c r="J279" s="2"/>
      <c r="K279" s="2"/>
      <c r="L279" s="10"/>
      <c r="M279" s="10"/>
      <c r="N279" s="10"/>
      <c r="O279" s="18"/>
      <c r="P279" s="10"/>
      <c r="Q279" s="10"/>
      <c r="R279" s="10"/>
      <c r="S279" s="10"/>
      <c r="T279" s="10"/>
      <c r="U279" s="10"/>
      <c r="V279" s="192"/>
      <c r="W279" s="192"/>
      <c r="X279" s="192"/>
      <c r="Y279" s="192"/>
      <c r="Z279" s="192"/>
      <c r="AB279" s="2"/>
      <c r="AC279" s="2"/>
    </row>
    <row r="280">
      <c r="B280" s="1"/>
      <c r="C280" s="2"/>
      <c r="D280" s="2"/>
      <c r="E280" s="11">
        <f t="shared" ref="E280:I280" si="93">NORMINV(rand(),0, 1)</f>
        <v>-0.6131088062</v>
      </c>
      <c r="F280" s="10">
        <f t="shared" si="93"/>
        <v>0.4214390455</v>
      </c>
      <c r="G280" s="10">
        <f t="shared" si="93"/>
        <v>-0.1638441657</v>
      </c>
      <c r="H280" s="10">
        <f t="shared" si="93"/>
        <v>-1.473208678</v>
      </c>
      <c r="I280" s="12">
        <f t="shared" si="93"/>
        <v>-0.827508379</v>
      </c>
      <c r="J280" s="2"/>
      <c r="K280" s="2"/>
      <c r="L280" s="10"/>
      <c r="M280" s="10"/>
      <c r="N280" s="10"/>
      <c r="O280" s="18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2"/>
      <c r="AB280" s="2"/>
      <c r="AC280" s="2"/>
    </row>
    <row r="281">
      <c r="B281" s="1"/>
      <c r="C281" s="2"/>
      <c r="D281" s="2"/>
      <c r="E281" s="11">
        <f t="shared" ref="E281:I281" si="94">NORMINV(rand(),0, 1)</f>
        <v>-0.4458050149</v>
      </c>
      <c r="F281" s="10">
        <f t="shared" si="94"/>
        <v>0.5776070715</v>
      </c>
      <c r="G281" s="10">
        <f t="shared" si="94"/>
        <v>-0.9383897664</v>
      </c>
      <c r="H281" s="10">
        <f t="shared" si="94"/>
        <v>-0.8203440495</v>
      </c>
      <c r="I281" s="12">
        <f t="shared" si="94"/>
        <v>-1.09756154</v>
      </c>
      <c r="J281" s="2"/>
      <c r="K281" s="2"/>
      <c r="L281" s="10"/>
      <c r="M281" s="10"/>
      <c r="N281" s="10"/>
      <c r="O281" s="18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2"/>
      <c r="AB281" s="2"/>
      <c r="AC281" s="2"/>
    </row>
    <row r="282">
      <c r="B282" s="1"/>
      <c r="C282" s="2"/>
      <c r="D282" s="2"/>
      <c r="E282" s="11">
        <f t="shared" ref="E282:I282" si="95">NORMINV(rand(),0, 1)</f>
        <v>0.08895527377</v>
      </c>
      <c r="F282" s="10">
        <f t="shared" si="95"/>
        <v>-0.5894657451</v>
      </c>
      <c r="G282" s="10">
        <f t="shared" si="95"/>
        <v>0.9333752141</v>
      </c>
      <c r="H282" s="10">
        <f t="shared" si="95"/>
        <v>1.10789761</v>
      </c>
      <c r="I282" s="12">
        <f t="shared" si="95"/>
        <v>-1.301106025</v>
      </c>
      <c r="J282" s="2"/>
      <c r="K282" s="2"/>
      <c r="L282" s="10"/>
      <c r="M282" s="10"/>
      <c r="N282" s="10"/>
      <c r="O282" s="18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2"/>
      <c r="AB282" s="2"/>
      <c r="AC282" s="2"/>
    </row>
    <row r="283">
      <c r="B283" s="1"/>
      <c r="C283" s="2"/>
      <c r="D283" s="2"/>
      <c r="E283" s="11">
        <f t="shared" ref="E283:I283" si="96">NORMINV(rand(),0, 1)</f>
        <v>0.351283854</v>
      </c>
      <c r="F283" s="10">
        <f t="shared" si="96"/>
        <v>0.07518652126</v>
      </c>
      <c r="G283" s="10">
        <f t="shared" si="96"/>
        <v>0.1375264699</v>
      </c>
      <c r="H283" s="10">
        <f t="shared" si="96"/>
        <v>-1.314015836</v>
      </c>
      <c r="I283" s="12">
        <f t="shared" si="96"/>
        <v>0.06265376343</v>
      </c>
      <c r="J283" s="2"/>
      <c r="K283" s="2"/>
      <c r="L283" s="10"/>
      <c r="M283" s="10"/>
      <c r="N283" s="10"/>
      <c r="O283" s="18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2"/>
      <c r="AB283" s="2"/>
      <c r="AC283" s="2"/>
    </row>
    <row r="284">
      <c r="B284" s="1"/>
      <c r="C284" s="2"/>
      <c r="D284" s="2"/>
      <c r="E284" s="11">
        <f t="shared" ref="E284:I284" si="97">NORMINV(rand(),0, 1)</f>
        <v>0.4533819073</v>
      </c>
      <c r="F284" s="10">
        <f t="shared" si="97"/>
        <v>-1.083764298</v>
      </c>
      <c r="G284" s="10">
        <f t="shared" si="97"/>
        <v>1.69226079</v>
      </c>
      <c r="H284" s="10">
        <f t="shared" si="97"/>
        <v>-1.181864391</v>
      </c>
      <c r="I284" s="12">
        <f t="shared" si="97"/>
        <v>-0.1535231847</v>
      </c>
      <c r="J284" s="2"/>
      <c r="K284" s="2"/>
      <c r="L284" s="10"/>
      <c r="M284" s="10"/>
      <c r="N284" s="10"/>
      <c r="O284" s="18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2"/>
      <c r="AB284" s="2"/>
      <c r="AC284" s="2"/>
    </row>
    <row r="285">
      <c r="B285" s="1"/>
      <c r="C285" s="2"/>
      <c r="D285" s="2"/>
      <c r="E285" s="11">
        <f t="shared" ref="E285:I285" si="98">NORMINV(rand(),0, 1)</f>
        <v>0.6482120209</v>
      </c>
      <c r="F285" s="10">
        <f t="shared" si="98"/>
        <v>-2.568936237</v>
      </c>
      <c r="G285" s="10">
        <f t="shared" si="98"/>
        <v>1.552141825</v>
      </c>
      <c r="H285" s="10">
        <f t="shared" si="98"/>
        <v>0.3684347762</v>
      </c>
      <c r="I285" s="12">
        <f t="shared" si="98"/>
        <v>-0.08103139101</v>
      </c>
      <c r="J285" s="2"/>
      <c r="K285" s="2"/>
      <c r="L285" s="10"/>
      <c r="M285" s="10"/>
      <c r="N285" s="10"/>
      <c r="O285" s="18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2"/>
      <c r="AB285" s="2"/>
      <c r="AC285" s="2"/>
    </row>
    <row r="286">
      <c r="B286" s="1"/>
      <c r="C286" s="2"/>
      <c r="D286" s="2"/>
      <c r="E286" s="11">
        <f t="shared" ref="E286:I286" si="99">NORMINV(rand(),0, 1)</f>
        <v>-1.497891889</v>
      </c>
      <c r="F286" s="10">
        <f t="shared" si="99"/>
        <v>1.148428032</v>
      </c>
      <c r="G286" s="10">
        <f t="shared" si="99"/>
        <v>-0.6328430493</v>
      </c>
      <c r="H286" s="10">
        <f t="shared" si="99"/>
        <v>0.6629375348</v>
      </c>
      <c r="I286" s="12">
        <f t="shared" si="99"/>
        <v>-2.253781281</v>
      </c>
      <c r="J286" s="2"/>
      <c r="K286" s="2"/>
      <c r="L286" s="10"/>
      <c r="M286" s="10"/>
      <c r="N286" s="10"/>
      <c r="O286" s="18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2"/>
      <c r="AB286" s="2"/>
      <c r="AC286" s="2"/>
    </row>
    <row r="287">
      <c r="B287" s="1"/>
      <c r="C287" s="2"/>
      <c r="D287" s="2"/>
      <c r="E287" s="13">
        <f t="shared" ref="E287:I287" si="100">NORMINV(rand(),0, 1)</f>
        <v>2.448379286</v>
      </c>
      <c r="F287" s="14">
        <f t="shared" si="100"/>
        <v>-2.104698679</v>
      </c>
      <c r="G287" s="14">
        <f t="shared" si="100"/>
        <v>0.5000438695</v>
      </c>
      <c r="H287" s="14">
        <f t="shared" si="100"/>
        <v>-0.1524457803</v>
      </c>
      <c r="I287" s="15">
        <f t="shared" si="100"/>
        <v>-1.280186856</v>
      </c>
      <c r="J287" s="2"/>
      <c r="K287" s="2"/>
      <c r="L287" s="2"/>
      <c r="M287" s="2"/>
      <c r="N287" s="2"/>
      <c r="O287" s="3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3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47" t="s">
        <v>63</v>
      </c>
      <c r="AA289" s="48"/>
      <c r="AB289" s="48"/>
      <c r="AC289" s="48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3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B291" s="1"/>
      <c r="C291" s="2"/>
      <c r="D291" s="2"/>
      <c r="E291" s="2"/>
      <c r="F291" s="2"/>
      <c r="G291" s="2"/>
      <c r="H291" s="2"/>
      <c r="L291" s="6" t="s">
        <v>1</v>
      </c>
      <c r="M291" s="7">
        <f t="array" ref="M291:Q295">$J$12:$N$16</f>
        <v>1.281387538</v>
      </c>
      <c r="N291" s="8">
        <v>0.7727707633570199</v>
      </c>
      <c r="O291" s="8">
        <v>1.4045051709836391</v>
      </c>
      <c r="P291" s="8">
        <v>-0.37451789563934873</v>
      </c>
      <c r="Q291" s="9">
        <v>0.3345687974124911</v>
      </c>
      <c r="U291" s="2"/>
      <c r="X291" s="34" t="s">
        <v>28</v>
      </c>
      <c r="Y291" s="49">
        <v>0.0</v>
      </c>
      <c r="Z291" s="50">
        <v>-99.0</v>
      </c>
      <c r="AA291" s="50">
        <v>-99.0</v>
      </c>
      <c r="AB291" s="50">
        <v>-99.0</v>
      </c>
      <c r="AC291" s="51">
        <v>-99.0</v>
      </c>
    </row>
    <row r="292">
      <c r="B292" s="1"/>
      <c r="C292" s="2"/>
      <c r="D292" s="2"/>
      <c r="E292" s="2"/>
      <c r="F292" s="2"/>
      <c r="G292" s="2"/>
      <c r="H292" s="2"/>
      <c r="L292" s="6" t="s">
        <v>2</v>
      </c>
      <c r="M292" s="11">
        <v>-0.49838695956324863</v>
      </c>
      <c r="N292" s="10">
        <v>-0.002812685085030789</v>
      </c>
      <c r="O292" s="10">
        <v>0.4268287669775717</v>
      </c>
      <c r="P292" s="10">
        <v>-0.16487719908617207</v>
      </c>
      <c r="Q292" s="12">
        <v>-2.072407618559388</v>
      </c>
      <c r="U292" s="2"/>
      <c r="X292" s="34" t="s">
        <v>31</v>
      </c>
      <c r="Y292" s="55">
        <v>0.0</v>
      </c>
      <c r="Z292" s="56">
        <v>0.0</v>
      </c>
      <c r="AA292" s="57">
        <v>-99.0</v>
      </c>
      <c r="AB292" s="57">
        <v>-99.0</v>
      </c>
      <c r="AC292" s="58">
        <v>-99.0</v>
      </c>
    </row>
    <row r="293">
      <c r="B293" s="1"/>
      <c r="C293" s="2"/>
      <c r="D293" s="2"/>
      <c r="E293" s="99"/>
      <c r="F293" s="99"/>
      <c r="G293" s="99" t="s">
        <v>41</v>
      </c>
      <c r="H293" s="99" t="s">
        <v>41</v>
      </c>
      <c r="I293" s="99" t="s">
        <v>41</v>
      </c>
      <c r="J293" s="99" t="s">
        <v>41</v>
      </c>
      <c r="K293" s="99" t="s">
        <v>41</v>
      </c>
      <c r="L293" s="99" t="s">
        <v>41</v>
      </c>
      <c r="M293" s="11">
        <v>0.7410793146158806</v>
      </c>
      <c r="N293" s="10">
        <v>0.23659726372662718</v>
      </c>
      <c r="O293" s="10">
        <v>0.4394275980216046</v>
      </c>
      <c r="P293" s="10">
        <v>0.9628273434122897</v>
      </c>
      <c r="Q293" s="12">
        <v>0.4601787007338566</v>
      </c>
      <c r="R293" s="100" t="s">
        <v>7</v>
      </c>
      <c r="S293" s="100" t="s">
        <v>7</v>
      </c>
      <c r="T293" s="100" t="s">
        <v>7</v>
      </c>
      <c r="U293" s="100" t="s">
        <v>7</v>
      </c>
      <c r="V293" s="100" t="s">
        <v>7</v>
      </c>
      <c r="W293" s="100" t="s">
        <v>7</v>
      </c>
      <c r="X293" s="42"/>
      <c r="Y293" s="55">
        <v>0.0</v>
      </c>
      <c r="Z293" s="56">
        <v>0.0</v>
      </c>
      <c r="AA293" s="56">
        <v>0.0</v>
      </c>
      <c r="AB293" s="57">
        <v>-99.0</v>
      </c>
      <c r="AC293" s="58">
        <v>-99.0</v>
      </c>
    </row>
    <row r="294">
      <c r="B294" s="1"/>
      <c r="C294" s="2"/>
      <c r="D294" s="2"/>
      <c r="F294" s="2"/>
      <c r="G294" s="21" t="s">
        <v>3</v>
      </c>
      <c r="H294" s="2"/>
      <c r="L294" s="1"/>
      <c r="M294" s="11">
        <v>1.8991564417143434</v>
      </c>
      <c r="N294" s="10">
        <v>0.7037587679130394</v>
      </c>
      <c r="O294" s="10">
        <v>-0.2196093992482537</v>
      </c>
      <c r="P294" s="10">
        <v>-0.9480810505105399</v>
      </c>
      <c r="Q294" s="12">
        <v>1.175062763272059</v>
      </c>
      <c r="U294" s="21"/>
      <c r="W294" s="21" t="s">
        <v>3</v>
      </c>
      <c r="X294" s="42"/>
      <c r="Y294" s="55">
        <v>0.0</v>
      </c>
      <c r="Z294" s="56">
        <v>0.0</v>
      </c>
      <c r="AA294" s="56">
        <v>0.0</v>
      </c>
      <c r="AB294" s="56">
        <v>0.0</v>
      </c>
      <c r="AC294" s="58">
        <v>-99.0</v>
      </c>
    </row>
    <row r="295">
      <c r="B295" s="1"/>
      <c r="C295" s="2"/>
      <c r="D295" s="2"/>
      <c r="F295" s="2"/>
      <c r="G295" s="21" t="s">
        <v>3</v>
      </c>
      <c r="H295" s="2"/>
      <c r="L295" s="1"/>
      <c r="M295" s="13">
        <v>-0.654161122344408</v>
      </c>
      <c r="N295" s="14">
        <v>0.6117056252611617</v>
      </c>
      <c r="O295" s="14">
        <v>0.6757049002716943</v>
      </c>
      <c r="P295" s="14">
        <v>0.61660879928997</v>
      </c>
      <c r="Q295" s="15">
        <v>0.5460761694101726</v>
      </c>
      <c r="U295" s="21"/>
      <c r="W295" s="21" t="s">
        <v>3</v>
      </c>
      <c r="X295" s="42"/>
      <c r="Y295" s="62">
        <v>0.0</v>
      </c>
      <c r="Z295" s="63">
        <v>0.0</v>
      </c>
      <c r="AA295" s="63">
        <v>0.0</v>
      </c>
      <c r="AB295" s="63">
        <v>0.0</v>
      </c>
      <c r="AC295" s="64">
        <v>0.0</v>
      </c>
    </row>
    <row r="296">
      <c r="B296" s="1"/>
      <c r="C296" s="2"/>
      <c r="D296" s="2"/>
      <c r="F296" s="2"/>
      <c r="G296" s="21" t="s">
        <v>3</v>
      </c>
      <c r="H296" s="2"/>
      <c r="J296" s="2"/>
      <c r="K296" s="2"/>
      <c r="L296" s="2"/>
      <c r="M296" s="2"/>
      <c r="N296" s="2"/>
      <c r="O296" s="3"/>
      <c r="P296" s="2"/>
      <c r="Q296" s="2"/>
      <c r="R296" s="2"/>
      <c r="S296" s="2"/>
      <c r="T296" s="2"/>
      <c r="U296" s="21"/>
      <c r="V296" s="2"/>
      <c r="W296" s="21" t="s">
        <v>3</v>
      </c>
      <c r="X296" s="2"/>
      <c r="Y296" s="2"/>
      <c r="Z296" s="2"/>
      <c r="AA296" s="2"/>
      <c r="AB296" s="2"/>
      <c r="AC296" s="2"/>
    </row>
    <row r="297">
      <c r="B297" s="1"/>
      <c r="C297" s="2"/>
      <c r="D297" s="2"/>
      <c r="F297" s="2"/>
      <c r="G297" s="21" t="s">
        <v>3</v>
      </c>
      <c r="H297" s="2"/>
      <c r="I297" s="66" t="s">
        <v>64</v>
      </c>
      <c r="J297" s="102">
        <f t="shared" ref="J297:N297" si="101">NORMINV(rand(),0, 1)</f>
        <v>-0.7746833097</v>
      </c>
      <c r="K297" s="103">
        <f t="shared" si="101"/>
        <v>-0.7199207789</v>
      </c>
      <c r="L297" s="103">
        <f t="shared" si="101"/>
        <v>1.644020031</v>
      </c>
      <c r="M297" s="103">
        <f t="shared" si="101"/>
        <v>-0.3112943331</v>
      </c>
      <c r="N297" s="104">
        <f t="shared" si="101"/>
        <v>0.3654580882</v>
      </c>
      <c r="O297" s="2"/>
      <c r="P297" s="66" t="s">
        <v>47</v>
      </c>
      <c r="Q297" s="105">
        <f t="array" ref="Q297:U301">MMULT(J297:N301,$M$201:$Q$205)</f>
        <v>-0.2457862838</v>
      </c>
      <c r="R297" s="106">
        <v>-0.2031804092366459</v>
      </c>
      <c r="S297" s="106">
        <v>-0.35759685679049585</v>
      </c>
      <c r="T297" s="106">
        <v>2.512215654823365</v>
      </c>
      <c r="U297" s="107">
        <v>1.8231050191066833</v>
      </c>
      <c r="W297" s="21" t="s">
        <v>3</v>
      </c>
      <c r="X297" s="2"/>
      <c r="Y297" s="2"/>
      <c r="Z297" s="2"/>
      <c r="AA297" s="2"/>
      <c r="AB297" s="2"/>
      <c r="AC297" s="2"/>
    </row>
    <row r="298">
      <c r="G298" s="21" t="s">
        <v>3</v>
      </c>
      <c r="I298" s="66" t="s">
        <v>65</v>
      </c>
      <c r="J298" s="109">
        <f t="shared" ref="J298:N298" si="102">NORMINV(rand(),0, 1)</f>
        <v>0.436714818</v>
      </c>
      <c r="K298" s="85">
        <f t="shared" si="102"/>
        <v>0.9995180613</v>
      </c>
      <c r="L298" s="85">
        <f t="shared" si="102"/>
        <v>0.6663609261</v>
      </c>
      <c r="M298" s="85">
        <f t="shared" si="102"/>
        <v>0.309301982</v>
      </c>
      <c r="N298" s="110">
        <f t="shared" si="102"/>
        <v>0.03063549503</v>
      </c>
      <c r="O298" s="2"/>
      <c r="P298" s="2"/>
      <c r="Q298" s="111">
        <v>1.1226527578084307</v>
      </c>
      <c r="R298" s="108">
        <v>0.7287421718993664</v>
      </c>
      <c r="S298" s="108">
        <v>1.2855835945523393</v>
      </c>
      <c r="T298" s="108">
        <v>0.03888203498579464</v>
      </c>
      <c r="U298" s="112">
        <v>-1.238474032921006</v>
      </c>
      <c r="W298" s="21" t="s">
        <v>3</v>
      </c>
      <c r="X298" s="66"/>
      <c r="Y298" s="108"/>
      <c r="Z298" s="108"/>
      <c r="AA298" s="108"/>
      <c r="AB298" s="108"/>
      <c r="AC298" s="108"/>
    </row>
    <row r="299">
      <c r="G299" s="21" t="s">
        <v>3</v>
      </c>
      <c r="I299" s="42"/>
      <c r="J299" s="109">
        <f t="shared" ref="J299:N299" si="103">NORMINV(rand(),0, 1)</f>
        <v>-1.616235286</v>
      </c>
      <c r="K299" s="85">
        <f t="shared" si="103"/>
        <v>1.428087875</v>
      </c>
      <c r="L299" s="85">
        <f t="shared" si="103"/>
        <v>0.01620054579</v>
      </c>
      <c r="M299" s="85">
        <f t="shared" si="103"/>
        <v>-0.242237925</v>
      </c>
      <c r="N299" s="110">
        <f t="shared" si="103"/>
        <v>1.290774816</v>
      </c>
      <c r="O299" s="67" t="s">
        <v>7</v>
      </c>
      <c r="P299" s="67" t="s">
        <v>7</v>
      </c>
      <c r="Q299" s="111">
        <v>-4.075180655856756</v>
      </c>
      <c r="R299" s="108">
        <v>-0.630065980310667</v>
      </c>
      <c r="S299" s="108">
        <v>-0.7279622696659939</v>
      </c>
      <c r="T299" s="108">
        <v>1.4110125334761565</v>
      </c>
      <c r="U299" s="112">
        <v>-3.0726503407079178</v>
      </c>
      <c r="W299" s="21" t="s">
        <v>3</v>
      </c>
      <c r="X299" s="2"/>
      <c r="Y299" s="108"/>
      <c r="Z299" s="108"/>
      <c r="AA299" s="108"/>
      <c r="AB299" s="108"/>
      <c r="AC299" s="108"/>
    </row>
    <row r="300">
      <c r="G300" s="21" t="s">
        <v>3</v>
      </c>
      <c r="I300" s="42"/>
      <c r="J300" s="109">
        <f t="shared" ref="J300:N300" si="104">NORMINV(rand(),0, 1)</f>
        <v>0.1947248956</v>
      </c>
      <c r="K300" s="85">
        <f t="shared" si="104"/>
        <v>0.3432554671</v>
      </c>
      <c r="L300" s="85">
        <f t="shared" si="104"/>
        <v>-0.3115251173</v>
      </c>
      <c r="M300" s="85">
        <f t="shared" si="104"/>
        <v>1.054807469</v>
      </c>
      <c r="N300" s="110">
        <f t="shared" si="104"/>
        <v>1.54115325</v>
      </c>
      <c r="O300" s="2"/>
      <c r="P300" s="2"/>
      <c r="Q300" s="111">
        <v>0.8426610450331564</v>
      </c>
      <c r="R300" s="108">
        <v>1.7608683638274774</v>
      </c>
      <c r="S300" s="108">
        <v>1.092829865315127</v>
      </c>
      <c r="T300" s="108">
        <v>-0.4792221773035833</v>
      </c>
      <c r="U300" s="112">
        <v>1.2914784480177874</v>
      </c>
      <c r="W300" s="21" t="s">
        <v>3</v>
      </c>
      <c r="X300" s="67"/>
      <c r="Y300" s="108"/>
      <c r="Z300" s="108"/>
      <c r="AA300" s="108"/>
      <c r="AB300" s="108"/>
      <c r="AC300" s="108"/>
    </row>
    <row r="301">
      <c r="G301" s="21" t="s">
        <v>3</v>
      </c>
      <c r="I301" s="42"/>
      <c r="J301" s="113">
        <f t="shared" ref="J301:N301" si="105">NORMINV(rand(),0, 1)</f>
        <v>0.1896174899</v>
      </c>
      <c r="K301" s="114">
        <f t="shared" si="105"/>
        <v>1.67457845</v>
      </c>
      <c r="L301" s="114">
        <f t="shared" si="105"/>
        <v>1.340325827</v>
      </c>
      <c r="M301" s="114">
        <f t="shared" si="105"/>
        <v>0.0508254537</v>
      </c>
      <c r="N301" s="115">
        <f t="shared" si="105"/>
        <v>0.1074978106</v>
      </c>
      <c r="O301" s="2"/>
      <c r="Q301" s="116">
        <v>0.42787777059512216</v>
      </c>
      <c r="R301" s="117">
        <v>0.560464087821327</v>
      </c>
      <c r="S301" s="117">
        <v>1.6315282087515208</v>
      </c>
      <c r="T301" s="117">
        <v>0.9614848536618164</v>
      </c>
      <c r="U301" s="118">
        <v>-2.671754553898519</v>
      </c>
      <c r="W301" s="21" t="s">
        <v>3</v>
      </c>
      <c r="X301" s="2"/>
      <c r="Y301" s="108"/>
      <c r="Z301" s="108"/>
      <c r="AA301" s="108"/>
      <c r="AB301" s="108"/>
      <c r="AC301" s="108"/>
    </row>
    <row r="302">
      <c r="G302" s="21" t="s">
        <v>3</v>
      </c>
      <c r="I302" s="1"/>
      <c r="J302" s="2"/>
      <c r="K302" s="2"/>
      <c r="L302" s="2"/>
      <c r="M302" s="2"/>
      <c r="N302" s="2"/>
      <c r="O302" s="2"/>
      <c r="W302" s="21" t="s">
        <v>3</v>
      </c>
      <c r="Y302" s="108"/>
      <c r="Z302" s="108"/>
      <c r="AA302" s="108"/>
      <c r="AB302" s="108"/>
      <c r="AC302" s="108"/>
    </row>
    <row r="303">
      <c r="G303" s="21" t="s">
        <v>3</v>
      </c>
      <c r="I303" s="66" t="s">
        <v>64</v>
      </c>
      <c r="J303" s="102">
        <f t="shared" ref="J303:N303" si="106">NORMINV(rand(),0, 1)</f>
        <v>-0.5180283623</v>
      </c>
      <c r="K303" s="103">
        <f t="shared" si="106"/>
        <v>-0.128176643</v>
      </c>
      <c r="L303" s="103">
        <f t="shared" si="106"/>
        <v>0.1957617339</v>
      </c>
      <c r="M303" s="103">
        <f t="shared" si="106"/>
        <v>0.02115918481</v>
      </c>
      <c r="N303" s="104">
        <f t="shared" si="106"/>
        <v>0.7514125032</v>
      </c>
      <c r="O303" s="2"/>
      <c r="P303" s="66" t="s">
        <v>51</v>
      </c>
      <c r="Q303" s="105">
        <f t="array" ref="Q303:U307">MMULT(J303:N307,$M$201:$Q$205)</f>
        <v>-0.906198793</v>
      </c>
      <c r="R303" s="106">
        <v>0.12089425504012569</v>
      </c>
      <c r="S303" s="106">
        <v>-0.19317352894222317</v>
      </c>
      <c r="T303" s="106">
        <v>0.8468959874322133</v>
      </c>
      <c r="U303" s="107">
        <v>0.6175953372404502</v>
      </c>
      <c r="W303" s="21" t="s">
        <v>3</v>
      </c>
    </row>
    <row r="304">
      <c r="G304" s="21" t="s">
        <v>3</v>
      </c>
      <c r="I304" s="66" t="s">
        <v>66</v>
      </c>
      <c r="J304" s="109">
        <f t="shared" ref="J304:N304" si="107">NORMINV(rand(),0, 1)</f>
        <v>2.122754153</v>
      </c>
      <c r="K304" s="85">
        <f t="shared" si="107"/>
        <v>1.41280413</v>
      </c>
      <c r="L304" s="85">
        <f t="shared" si="107"/>
        <v>-1.151004643</v>
      </c>
      <c r="M304" s="85">
        <f t="shared" si="107"/>
        <v>-0.2429432446</v>
      </c>
      <c r="N304" s="110">
        <f t="shared" si="107"/>
        <v>-0.5181085629</v>
      </c>
      <c r="O304" s="2"/>
      <c r="P304" s="2"/>
      <c r="Q304" s="111">
        <v>1.0405010814119686</v>
      </c>
      <c r="R304" s="108">
        <v>0.8762006642482861</v>
      </c>
      <c r="S304" s="108">
        <v>2.781925549302233</v>
      </c>
      <c r="T304" s="108">
        <v>-2.225307760761191</v>
      </c>
      <c r="U304" s="112">
        <v>-3.315766859625287</v>
      </c>
      <c r="W304" s="21" t="s">
        <v>3</v>
      </c>
      <c r="X304" s="66"/>
      <c r="Y304" s="108"/>
      <c r="Z304" s="108"/>
      <c r="AA304" s="108"/>
      <c r="AB304" s="108"/>
      <c r="AC304" s="108"/>
    </row>
    <row r="305">
      <c r="G305" s="21" t="s">
        <v>3</v>
      </c>
      <c r="I305" s="42"/>
      <c r="J305" s="109">
        <f t="shared" ref="J305:N305" si="108">NORMINV(rand(),0, 1)</f>
        <v>-0.3386243992</v>
      </c>
      <c r="K305" s="85">
        <f t="shared" si="108"/>
        <v>-0.963085833</v>
      </c>
      <c r="L305" s="85">
        <f t="shared" si="108"/>
        <v>0.5576248818</v>
      </c>
      <c r="M305" s="85">
        <f t="shared" si="108"/>
        <v>1.416735261</v>
      </c>
      <c r="N305" s="110">
        <f t="shared" si="108"/>
        <v>0.8341217783</v>
      </c>
      <c r="O305" s="67" t="s">
        <v>7</v>
      </c>
      <c r="P305" s="67" t="s">
        <v>7</v>
      </c>
      <c r="Q305" s="111">
        <v>2.6042764592417638</v>
      </c>
      <c r="R305" s="108">
        <v>1.3802391888165733</v>
      </c>
      <c r="S305" s="108">
        <v>-0.3891449024303647</v>
      </c>
      <c r="T305" s="108">
        <v>-0.006344751006870375</v>
      </c>
      <c r="U305" s="112">
        <v>4.2594672296393465</v>
      </c>
      <c r="W305" s="21" t="s">
        <v>3</v>
      </c>
      <c r="X305" s="2"/>
      <c r="Y305" s="108"/>
      <c r="Z305" s="108"/>
      <c r="AA305" s="108"/>
      <c r="AB305" s="108"/>
      <c r="AC305" s="108"/>
    </row>
    <row r="306">
      <c r="G306" s="21" t="s">
        <v>3</v>
      </c>
      <c r="I306" s="42"/>
      <c r="J306" s="109">
        <f t="shared" ref="J306:N306" si="109">NORMINV(rand(),0, 1)</f>
        <v>-0.1976590689</v>
      </c>
      <c r="K306" s="85">
        <f t="shared" si="109"/>
        <v>0.9679317079</v>
      </c>
      <c r="L306" s="85">
        <f t="shared" si="109"/>
        <v>1.036193593</v>
      </c>
      <c r="M306" s="85">
        <f t="shared" si="109"/>
        <v>-0.286727565</v>
      </c>
      <c r="N306" s="110">
        <f t="shared" si="109"/>
        <v>-1.345268398</v>
      </c>
      <c r="O306" s="2"/>
      <c r="P306" s="2"/>
      <c r="Q306" s="111">
        <v>0.36770101262308197</v>
      </c>
      <c r="R306" s="108">
        <v>-0.935002352274604</v>
      </c>
      <c r="S306" s="108">
        <v>-0.2551764056369019</v>
      </c>
      <c r="T306" s="108">
        <v>0.3544491537342863</v>
      </c>
      <c r="U306" s="112">
        <v>-2.666787279753919</v>
      </c>
      <c r="W306" s="21" t="s">
        <v>3</v>
      </c>
      <c r="X306" s="67"/>
      <c r="Y306" s="108"/>
      <c r="Z306" s="108"/>
      <c r="AA306" s="108"/>
      <c r="AB306" s="108"/>
      <c r="AC306" s="108"/>
    </row>
    <row r="307">
      <c r="G307" s="21" t="s">
        <v>3</v>
      </c>
      <c r="I307" s="42"/>
      <c r="J307" s="113">
        <f t="shared" ref="J307:N307" si="110">NORMINV(rand(),0, 1)</f>
        <v>0.5474531647</v>
      </c>
      <c r="K307" s="114">
        <f t="shared" si="110"/>
        <v>-0.1047028909</v>
      </c>
      <c r="L307" s="114">
        <f t="shared" si="110"/>
        <v>1.587106951</v>
      </c>
      <c r="M307" s="114">
        <f t="shared" si="110"/>
        <v>-0.1596315616</v>
      </c>
      <c r="N307" s="115">
        <f t="shared" si="110"/>
        <v>1.576398425</v>
      </c>
      <c r="O307" s="2"/>
      <c r="Q307" s="116">
        <v>0.5954704782668045</v>
      </c>
      <c r="R307" s="117">
        <v>1.6508051313765635</v>
      </c>
      <c r="S307" s="117">
        <v>2.5218659222766773</v>
      </c>
      <c r="T307" s="117">
        <v>2.4637068804691373</v>
      </c>
      <c r="U307" s="118">
        <v>1.8037571400547432</v>
      </c>
      <c r="W307" s="21" t="s">
        <v>3</v>
      </c>
      <c r="X307" s="2"/>
      <c r="Y307" s="108"/>
      <c r="Z307" s="108"/>
      <c r="AA307" s="108"/>
      <c r="AB307" s="108"/>
      <c r="AC307" s="108"/>
    </row>
    <row r="308">
      <c r="G308" s="21" t="s">
        <v>3</v>
      </c>
      <c r="O308" s="193"/>
      <c r="P308" s="2"/>
      <c r="Q308" s="42"/>
      <c r="R308" s="43"/>
      <c r="S308" s="43"/>
      <c r="T308" s="43"/>
      <c r="U308" s="43"/>
      <c r="V308" s="43"/>
      <c r="W308" s="21" t="s">
        <v>3</v>
      </c>
      <c r="Y308" s="108"/>
      <c r="Z308" s="108"/>
      <c r="AA308" s="108"/>
      <c r="AB308" s="108"/>
      <c r="AC308" s="108"/>
    </row>
    <row r="309">
      <c r="B309" s="1"/>
      <c r="C309" s="2"/>
      <c r="D309" s="2"/>
      <c r="E309" s="2"/>
      <c r="G309" s="21" t="s">
        <v>3</v>
      </c>
      <c r="L309" s="2"/>
      <c r="M309" s="68" t="s">
        <v>22</v>
      </c>
      <c r="N309" s="7">
        <f t="array" ref="N309:R313">MMULT(TRANSPOSE(Q303:U307),Q297:U301) / 5^0.5</f>
        <v>-3.871710786</v>
      </c>
      <c r="O309" s="8">
        <v>0.126438802840233</v>
      </c>
      <c r="P309" s="8">
        <v>0.5094887546331761</v>
      </c>
      <c r="Q309" s="8">
        <v>0.8205842193874464</v>
      </c>
      <c r="R309" s="9">
        <v>-5.392874115786721</v>
      </c>
      <c r="W309" s="21" t="s">
        <v>3</v>
      </c>
      <c r="AA309" s="2"/>
      <c r="AB309" s="2"/>
      <c r="AC309" s="2"/>
    </row>
    <row r="310">
      <c r="B310" s="1"/>
      <c r="C310" s="2"/>
      <c r="D310" s="2"/>
      <c r="E310" s="2"/>
      <c r="G310" s="21" t="s">
        <v>3</v>
      </c>
      <c r="L310" s="2"/>
      <c r="N310" s="11">
        <v>-2.125300477483923</v>
      </c>
      <c r="O310" s="10">
        <v>-0.4368739262942858</v>
      </c>
      <c r="P310" s="10">
        <v>0.7826114425903781</v>
      </c>
      <c r="Q310" s="10">
        <v>1.9322371843206734</v>
      </c>
      <c r="R310" s="12">
        <v>-4.7958393407538775</v>
      </c>
      <c r="V310" s="10"/>
      <c r="W310" s="21" t="s">
        <v>3</v>
      </c>
      <c r="X310" s="10"/>
      <c r="Y310" s="10"/>
      <c r="Z310" s="10"/>
      <c r="AA310" s="2"/>
      <c r="AB310" s="2"/>
      <c r="AC310" s="2"/>
    </row>
    <row r="311">
      <c r="B311" s="1"/>
      <c r="C311" s="2"/>
      <c r="D311" s="2"/>
      <c r="E311" s="2"/>
      <c r="G311" s="21" t="s">
        <v>3</v>
      </c>
      <c r="L311" s="2"/>
      <c r="N311" s="11">
        <v>2.513552709909027</v>
      </c>
      <c r="O311" s="10">
        <v>1.464993803755355</v>
      </c>
      <c r="P311" s="10">
        <v>3.472340721580996</v>
      </c>
      <c r="Q311" s="10">
        <v>0.7248469745160067</v>
      </c>
      <c r="R311" s="12">
        <v>-4.324185872365253</v>
      </c>
      <c r="V311" s="10"/>
      <c r="W311" s="21" t="s">
        <v>3</v>
      </c>
      <c r="X311" s="10"/>
      <c r="Y311" s="10"/>
      <c r="Z311" s="10"/>
      <c r="AA311" s="2"/>
      <c r="AB311" s="2"/>
      <c r="AC311" s="2"/>
    </row>
    <row r="312">
      <c r="B312" s="1"/>
      <c r="C312" s="2"/>
      <c r="D312" s="2"/>
      <c r="E312" s="2"/>
      <c r="G312" s="21" t="s">
        <v>3</v>
      </c>
      <c r="L312" s="2"/>
      <c r="N312" s="11">
        <v>-0.5937661185651559</v>
      </c>
      <c r="O312" s="10">
        <v>0.096243432989015</v>
      </c>
      <c r="P312" s="10">
        <v>0.5580832752933703</v>
      </c>
      <c r="Q312" s="10">
        <v>1.8921899231355817</v>
      </c>
      <c r="R312" s="12">
        <v>-0.8073078497214229</v>
      </c>
      <c r="V312" s="10"/>
      <c r="W312" s="21" t="s">
        <v>3</v>
      </c>
      <c r="X312" s="10"/>
      <c r="Y312" s="10"/>
      <c r="Z312" s="10"/>
      <c r="AA312" s="2"/>
      <c r="AB312" s="2"/>
      <c r="AC312" s="2"/>
    </row>
    <row r="313">
      <c r="B313" s="1"/>
      <c r="C313" s="2"/>
      <c r="D313" s="2"/>
      <c r="E313" s="2"/>
      <c r="G313" s="21" t="s">
        <v>3</v>
      </c>
      <c r="L313" s="2"/>
      <c r="N313" s="13">
        <v>-10.155218951879023</v>
      </c>
      <c r="O313" s="14">
        <v>-3.9848914054883067</v>
      </c>
      <c r="P313" s="14">
        <v>-3.379030184040292</v>
      </c>
      <c r="Q313" s="14">
        <v>4.671163596112057</v>
      </c>
      <c r="R313" s="15">
        <v>-7.208508834673639</v>
      </c>
      <c r="V313" s="10"/>
      <c r="W313" s="21" t="s">
        <v>3</v>
      </c>
      <c r="X313" s="10"/>
      <c r="Y313" s="10"/>
      <c r="Z313" s="10"/>
      <c r="AA313" s="2"/>
      <c r="AB313" s="2"/>
      <c r="AC313" s="2"/>
    </row>
    <row r="314">
      <c r="B314" s="1"/>
      <c r="C314" s="2"/>
      <c r="D314" s="2"/>
      <c r="E314" s="2"/>
      <c r="G314" s="21" t="s">
        <v>3</v>
      </c>
      <c r="L314" s="2"/>
      <c r="M314" s="2"/>
      <c r="N314" s="2"/>
      <c r="O314" s="2"/>
      <c r="P314" s="98" t="s">
        <v>3</v>
      </c>
      <c r="Q314" s="2"/>
      <c r="R314" s="2"/>
      <c r="V314" s="10"/>
      <c r="W314" s="21" t="s">
        <v>3</v>
      </c>
      <c r="X314" s="10"/>
      <c r="Y314" s="10"/>
      <c r="Z314" s="10"/>
      <c r="AA314" s="2"/>
      <c r="AB314" s="2"/>
      <c r="AC314" s="2"/>
    </row>
    <row r="315">
      <c r="B315" s="1"/>
      <c r="C315" s="2"/>
      <c r="D315" s="2"/>
      <c r="E315" s="2"/>
      <c r="G315" s="21" t="s">
        <v>3</v>
      </c>
      <c r="L315" s="2"/>
      <c r="M315" s="2"/>
      <c r="N315" s="2"/>
      <c r="O315" s="2"/>
      <c r="P315" s="98" t="s">
        <v>3</v>
      </c>
      <c r="Q315" s="2"/>
      <c r="R315" s="2"/>
      <c r="V315" s="2"/>
      <c r="W315" s="21" t="s">
        <v>3</v>
      </c>
      <c r="X315" s="98"/>
      <c r="Y315" s="2"/>
      <c r="Z315" s="2"/>
      <c r="AA315" s="2"/>
      <c r="AB315" s="2"/>
      <c r="AC315" s="2"/>
    </row>
    <row r="316">
      <c r="B316" s="1"/>
      <c r="C316" s="2"/>
      <c r="D316" s="2"/>
      <c r="E316" s="2"/>
      <c r="G316" s="21" t="s">
        <v>3</v>
      </c>
      <c r="L316" s="2"/>
      <c r="M316" s="34" t="s">
        <v>37</v>
      </c>
      <c r="N316" s="173">
        <f t="shared" ref="N316:R316" si="111">EXP(N309+Y291)/SUMPRODUCT(EXP($N309:$R309+$Y291:$AC291))
</f>
        <v>1</v>
      </c>
      <c r="O316" s="174">
        <f t="shared" si="111"/>
        <v>0</v>
      </c>
      <c r="P316" s="174">
        <f t="shared" si="111"/>
        <v>0</v>
      </c>
      <c r="Q316" s="174">
        <f t="shared" si="111"/>
        <v>0</v>
      </c>
      <c r="R316" s="175">
        <f t="shared" si="111"/>
        <v>0</v>
      </c>
      <c r="V316" s="2"/>
      <c r="W316" s="21" t="s">
        <v>3</v>
      </c>
      <c r="X316" s="98"/>
      <c r="Y316" s="2"/>
      <c r="Z316" s="2"/>
      <c r="AA316" s="2"/>
      <c r="AB316" s="2"/>
      <c r="AC316" s="2"/>
    </row>
    <row r="317">
      <c r="B317" s="1"/>
      <c r="C317" s="2"/>
      <c r="D317" s="2"/>
      <c r="E317" s="2"/>
      <c r="G317" s="21" t="s">
        <v>3</v>
      </c>
      <c r="L317" s="2"/>
      <c r="M317" s="34" t="s">
        <v>35</v>
      </c>
      <c r="N317" s="176">
        <f t="shared" ref="N317:R317" si="112">EXP(N310+Y292)/SUMPRODUCT(EXP($N310:$R310+$Y292:$AC292))
</f>
        <v>0.155982876</v>
      </c>
      <c r="O317" s="177">
        <f t="shared" si="112"/>
        <v>0.844017124</v>
      </c>
      <c r="P317" s="177">
        <f t="shared" si="112"/>
        <v>0</v>
      </c>
      <c r="Q317" s="177">
        <f t="shared" si="112"/>
        <v>0</v>
      </c>
      <c r="R317" s="178">
        <f t="shared" si="112"/>
        <v>0</v>
      </c>
      <c r="V317" s="177"/>
      <c r="W317" s="21" t="s">
        <v>3</v>
      </c>
      <c r="X317" s="177"/>
      <c r="Y317" s="177"/>
      <c r="Z317" s="177"/>
      <c r="AA317" s="2"/>
      <c r="AB317" s="2"/>
      <c r="AC317" s="2"/>
    </row>
    <row r="318">
      <c r="B318" s="1"/>
      <c r="C318" s="2"/>
      <c r="D318" s="2"/>
      <c r="E318" s="2"/>
      <c r="G318" s="21" t="s">
        <v>3</v>
      </c>
      <c r="L318" s="2"/>
      <c r="M318" s="67"/>
      <c r="N318" s="176">
        <f t="shared" ref="N318:R318" si="113">EXP(N311+Y293)/SUMPRODUCT(EXP($N311:$R311+$Y293:$AC293))
</f>
        <v>0.2525906039</v>
      </c>
      <c r="O318" s="177">
        <f t="shared" si="113"/>
        <v>0.08851845891</v>
      </c>
      <c r="P318" s="177">
        <f t="shared" si="113"/>
        <v>0.6588909372</v>
      </c>
      <c r="Q318" s="177">
        <f t="shared" si="113"/>
        <v>0</v>
      </c>
      <c r="R318" s="178">
        <f t="shared" si="113"/>
        <v>0</v>
      </c>
      <c r="V318" s="177"/>
      <c r="W318" s="21" t="s">
        <v>3</v>
      </c>
      <c r="X318" s="177"/>
      <c r="Y318" s="177"/>
      <c r="Z318" s="177"/>
      <c r="AA318" s="2"/>
      <c r="AB318" s="2"/>
      <c r="AC318" s="2"/>
    </row>
    <row r="319">
      <c r="B319" s="1"/>
      <c r="C319" s="2"/>
      <c r="D319" s="2"/>
      <c r="E319" s="2"/>
      <c r="G319" s="21" t="s">
        <v>3</v>
      </c>
      <c r="L319" s="2"/>
      <c r="M319" s="94"/>
      <c r="N319" s="176">
        <f t="shared" ref="N319:R319" si="114">EXP(N312+Y294)/SUMPRODUCT(EXP($N312:$R312+$Y294:$AC294))
</f>
        <v>0.05503464365</v>
      </c>
      <c r="O319" s="177">
        <f t="shared" si="114"/>
        <v>0.1097244719</v>
      </c>
      <c r="P319" s="177">
        <f t="shared" si="114"/>
        <v>0.174131762</v>
      </c>
      <c r="Q319" s="177">
        <f t="shared" si="114"/>
        <v>0.6611091224</v>
      </c>
      <c r="R319" s="178">
        <f t="shared" si="114"/>
        <v>0</v>
      </c>
      <c r="V319" s="177"/>
      <c r="W319" s="21" t="s">
        <v>3</v>
      </c>
      <c r="X319" s="177"/>
      <c r="Y319" s="177"/>
      <c r="Z319" s="177"/>
      <c r="AA319" s="2"/>
      <c r="AB319" s="2"/>
      <c r="AC319" s="2"/>
    </row>
    <row r="320">
      <c r="B320" s="1"/>
      <c r="C320" s="2"/>
      <c r="D320" s="2"/>
      <c r="E320" s="2"/>
      <c r="G320" s="21" t="s">
        <v>3</v>
      </c>
      <c r="L320" s="2"/>
      <c r="M320" s="42"/>
      <c r="N320" s="179">
        <f t="shared" ref="N320:R320" si="115">EXP(N313+Y295)/SUMPRODUCT(EXP($N313:$R313+$Y295:$AC295))
</f>
        <v>0.0000003637195162</v>
      </c>
      <c r="O320" s="180">
        <f t="shared" si="115"/>
        <v>0.0001739825972</v>
      </c>
      <c r="P320" s="180">
        <f t="shared" si="115"/>
        <v>0.0003188805239</v>
      </c>
      <c r="Q320" s="180">
        <f t="shared" si="115"/>
        <v>0.9994998468</v>
      </c>
      <c r="R320" s="181">
        <f t="shared" si="115"/>
        <v>0.000006926383731</v>
      </c>
      <c r="V320" s="177"/>
      <c r="W320" s="21" t="s">
        <v>3</v>
      </c>
      <c r="X320" s="177"/>
      <c r="Y320" s="177"/>
      <c r="Z320" s="177"/>
      <c r="AA320" s="2"/>
      <c r="AB320" s="2"/>
      <c r="AC320" s="2"/>
    </row>
    <row r="321">
      <c r="B321" s="1"/>
      <c r="C321" s="2"/>
      <c r="D321" s="2"/>
      <c r="E321" s="2"/>
      <c r="G321" s="21" t="s">
        <v>3</v>
      </c>
      <c r="L321" s="2"/>
      <c r="M321" s="2"/>
      <c r="N321" s="2"/>
      <c r="O321" s="3"/>
      <c r="P321" s="2"/>
      <c r="Q321" s="2"/>
      <c r="R321" s="2"/>
      <c r="S321" s="2"/>
      <c r="T321" s="2"/>
      <c r="U321" s="2"/>
      <c r="V321" s="177"/>
      <c r="W321" s="21" t="s">
        <v>3</v>
      </c>
      <c r="X321" s="177"/>
      <c r="Y321" s="177"/>
      <c r="Z321" s="177"/>
      <c r="AA321" s="2"/>
      <c r="AB321" s="2"/>
      <c r="AC321" s="2"/>
    </row>
    <row r="322">
      <c r="B322" s="1"/>
      <c r="C322" s="2"/>
      <c r="D322" s="2"/>
      <c r="F322" s="2"/>
      <c r="G322" s="21" t="s">
        <v>3</v>
      </c>
      <c r="H322" s="2"/>
      <c r="I322" s="2"/>
      <c r="J322" s="2"/>
      <c r="K322" s="2"/>
      <c r="L322" s="2"/>
      <c r="M322" s="2"/>
      <c r="N322" s="2"/>
      <c r="O322" s="193"/>
      <c r="P322" s="2"/>
      <c r="Q322" s="1"/>
      <c r="R322" s="2"/>
      <c r="S322" s="2"/>
      <c r="T322" s="2"/>
      <c r="U322" s="2"/>
      <c r="V322" s="2"/>
      <c r="W322" s="21" t="s">
        <v>3</v>
      </c>
      <c r="X322" s="2"/>
      <c r="Y322" s="2"/>
      <c r="Z322" s="2"/>
      <c r="AA322" s="2"/>
      <c r="AB322" s="2"/>
      <c r="AC322" s="2"/>
    </row>
    <row r="323">
      <c r="B323" s="66" t="s">
        <v>42</v>
      </c>
      <c r="C323" s="119">
        <f t="shared" ref="C323:G323" si="116">NORMINV(rand(),0, 1)</f>
        <v>1.229764405</v>
      </c>
      <c r="D323" s="120">
        <f t="shared" si="116"/>
        <v>-1.061726008</v>
      </c>
      <c r="E323" s="121">
        <f t="shared" si="116"/>
        <v>2.366894677</v>
      </c>
      <c r="F323" s="122">
        <f t="shared" si="116"/>
        <v>-1.738518474</v>
      </c>
      <c r="G323" s="123">
        <f t="shared" si="116"/>
        <v>-0.5220249968</v>
      </c>
      <c r="H323" s="2"/>
      <c r="I323" s="66" t="s">
        <v>43</v>
      </c>
      <c r="J323" s="124">
        <f t="array" ref="J323:N327">MMULT(C323:G327,$M$201:$Q$205)</f>
        <v>0.8987817619</v>
      </c>
      <c r="K323" s="125">
        <v>-0.029510164026304297</v>
      </c>
      <c r="L323" s="126">
        <v>2.3431742543860246</v>
      </c>
      <c r="M323" s="127">
        <v>3.3197677623976674</v>
      </c>
      <c r="N323" s="128">
        <v>1.3730306495471867</v>
      </c>
      <c r="O323" s="101"/>
      <c r="P323" s="2"/>
      <c r="Q323" s="66" t="s">
        <v>44</v>
      </c>
      <c r="R323" s="119">
        <f t="shared" ref="R323:V323" si="117">NORMINV(rand(),0, 1)</f>
        <v>0.2115759226</v>
      </c>
      <c r="S323" s="120">
        <f t="shared" si="117"/>
        <v>-2.265029949</v>
      </c>
      <c r="T323" s="121">
        <f t="shared" si="117"/>
        <v>1.658903831</v>
      </c>
      <c r="U323" s="122">
        <f t="shared" si="117"/>
        <v>0.2656010093</v>
      </c>
      <c r="V323" s="123">
        <f t="shared" si="117"/>
        <v>0.1142556915</v>
      </c>
      <c r="W323" s="2"/>
      <c r="X323" s="66" t="s">
        <v>45</v>
      </c>
      <c r="Y323" s="124">
        <f t="array" ref="Y323:AC327">MMULT(R323:V327,$M$201:$Q$205)</f>
        <v>3.05902769</v>
      </c>
      <c r="Z323" s="125">
        <v>0.8191724985980788</v>
      </c>
      <c r="AA323" s="126">
        <v>0.07822231536135629</v>
      </c>
      <c r="AB323" s="127">
        <v>1.7100905739617525</v>
      </c>
      <c r="AC323" s="128">
        <v>5.902734400356936</v>
      </c>
    </row>
    <row r="324">
      <c r="B324" s="66" t="s">
        <v>6</v>
      </c>
      <c r="C324" s="131">
        <f t="shared" ref="C324:G324" si="118">NORMINV(rand(),0, 1)</f>
        <v>0.5161081249</v>
      </c>
      <c r="D324" s="132">
        <f t="shared" si="118"/>
        <v>0.5739017811</v>
      </c>
      <c r="E324" s="133">
        <f t="shared" si="118"/>
        <v>0.7897802408</v>
      </c>
      <c r="F324" s="134">
        <f t="shared" si="118"/>
        <v>-0.3004115884</v>
      </c>
      <c r="G324" s="135">
        <f t="shared" si="118"/>
        <v>0.6965057723</v>
      </c>
      <c r="H324" s="2"/>
      <c r="I324" s="42"/>
      <c r="J324" s="136">
        <v>-0.06555644598649363</v>
      </c>
      <c r="K324" s="137">
        <v>0.7987181182063152</v>
      </c>
      <c r="L324" s="138">
        <v>1.8534911258374354</v>
      </c>
      <c r="M324" s="139">
        <v>1.1867930863560545</v>
      </c>
      <c r="N324" s="140">
        <v>-0.6259019707089972</v>
      </c>
      <c r="O324" s="101"/>
      <c r="P324" s="2"/>
      <c r="Q324" s="66" t="s">
        <v>6</v>
      </c>
      <c r="R324" s="131">
        <f t="shared" ref="R324:V324" si="119">NORMINV(rand(),0, 1)</f>
        <v>0.4768619444</v>
      </c>
      <c r="S324" s="132">
        <f t="shared" si="119"/>
        <v>1.088495753</v>
      </c>
      <c r="T324" s="133">
        <f t="shared" si="119"/>
        <v>-0.2736173556</v>
      </c>
      <c r="U324" s="134">
        <f t="shared" si="119"/>
        <v>-1.833035894</v>
      </c>
      <c r="V324" s="135">
        <f t="shared" si="119"/>
        <v>-0.3354407381</v>
      </c>
      <c r="W324" s="2"/>
      <c r="X324" s="42"/>
      <c r="Y324" s="136">
        <v>-3.396008935112971</v>
      </c>
      <c r="Z324" s="137">
        <v>-1.1944998135169886</v>
      </c>
      <c r="AA324" s="138">
        <v>1.1900143104578176</v>
      </c>
      <c r="AB324" s="139">
        <v>0.9095231510190214</v>
      </c>
      <c r="AC324" s="140">
        <v>-4.559285059152816</v>
      </c>
    </row>
    <row r="325">
      <c r="B325" s="42"/>
      <c r="C325" s="142">
        <f t="shared" ref="C325:G325" si="120">NORMINV(rand(),0, 1)</f>
        <v>0.4961432829</v>
      </c>
      <c r="D325" s="143">
        <f t="shared" si="120"/>
        <v>-0.9641779685</v>
      </c>
      <c r="E325" s="88">
        <f t="shared" si="120"/>
        <v>1.967149402</v>
      </c>
      <c r="F325" s="144">
        <f t="shared" si="120"/>
        <v>0.4646871388</v>
      </c>
      <c r="G325" s="145">
        <f t="shared" si="120"/>
        <v>0.4052338757</v>
      </c>
      <c r="H325" s="67" t="s">
        <v>7</v>
      </c>
      <c r="I325" s="67" t="s">
        <v>7</v>
      </c>
      <c r="J325" s="146">
        <v>3.191524602565422</v>
      </c>
      <c r="K325" s="147">
        <v>1.4264506079078791</v>
      </c>
      <c r="L325" s="148">
        <v>1.3214855018081542</v>
      </c>
      <c r="M325" s="149">
        <v>1.6764913603160414</v>
      </c>
      <c r="N325" s="150">
        <v>3.8367292009896143</v>
      </c>
      <c r="O325" s="101"/>
      <c r="P325" s="2"/>
      <c r="Q325" s="42"/>
      <c r="R325" s="142">
        <f t="shared" ref="R325:V325" si="121">NORMINV(rand(),0, 1)</f>
        <v>1.044647515</v>
      </c>
      <c r="S325" s="143">
        <f t="shared" si="121"/>
        <v>0.149438541</v>
      </c>
      <c r="T325" s="88">
        <f t="shared" si="121"/>
        <v>0.07868899989</v>
      </c>
      <c r="U325" s="144">
        <f t="shared" si="121"/>
        <v>0.3879374024</v>
      </c>
      <c r="V325" s="145">
        <f t="shared" si="121"/>
        <v>1.045378522</v>
      </c>
      <c r="W325" s="67" t="s">
        <v>7</v>
      </c>
      <c r="X325" s="67" t="s">
        <v>7</v>
      </c>
      <c r="Y325" s="146">
        <v>1.3753427057424525</v>
      </c>
      <c r="Z325" s="147">
        <v>1.737948606706475</v>
      </c>
      <c r="AA325" s="148">
        <v>2.1867483127111598</v>
      </c>
      <c r="AB325" s="149">
        <v>-0.06332078083073067</v>
      </c>
      <c r="AC325" s="150">
        <v>1.102726988540614</v>
      </c>
    </row>
    <row r="326">
      <c r="B326" s="42"/>
      <c r="C326" s="152">
        <f t="shared" ref="C326:G326" si="122">NORMINV(rand(),0, 1)</f>
        <v>1.431353559</v>
      </c>
      <c r="D326" s="92">
        <f t="shared" si="122"/>
        <v>2.086421695</v>
      </c>
      <c r="E326" s="153">
        <f t="shared" si="122"/>
        <v>0.4944175188</v>
      </c>
      <c r="F326" s="154">
        <f t="shared" si="122"/>
        <v>0.4113729083</v>
      </c>
      <c r="G326" s="155">
        <f t="shared" si="122"/>
        <v>1.186353188</v>
      </c>
      <c r="H326" s="2"/>
      <c r="I326" s="42"/>
      <c r="J326" s="156">
        <v>1.1658712193215146</v>
      </c>
      <c r="K326" s="157">
        <v>2.232423776881355</v>
      </c>
      <c r="L326" s="158">
        <v>3.8294322824175886</v>
      </c>
      <c r="M326" s="159">
        <v>-0.06253122628585839</v>
      </c>
      <c r="N326" s="160">
        <v>-2.486281375155728</v>
      </c>
      <c r="O326" s="101"/>
      <c r="P326" s="2"/>
      <c r="Q326" s="42"/>
      <c r="R326" s="152">
        <f t="shared" ref="R326:V326" si="123">NORMINV(rand(),0, 1)</f>
        <v>0.1315537575</v>
      </c>
      <c r="S326" s="92">
        <f t="shared" si="123"/>
        <v>-1.61555069</v>
      </c>
      <c r="T326" s="153">
        <f t="shared" si="123"/>
        <v>-1.264240854</v>
      </c>
      <c r="U326" s="154">
        <f t="shared" si="123"/>
        <v>-1.596159318</v>
      </c>
      <c r="V326" s="155">
        <f t="shared" si="123"/>
        <v>0.628180994</v>
      </c>
      <c r="W326" s="2"/>
      <c r="X326" s="42"/>
      <c r="Y326" s="156">
        <v>-3.4054498388322516</v>
      </c>
      <c r="Z326" s="157">
        <v>-0.931960261210857</v>
      </c>
      <c r="AA326" s="158">
        <v>-0.2853413333007979</v>
      </c>
      <c r="AB326" s="159">
        <v>0.9004829049393188</v>
      </c>
      <c r="AC326" s="160">
        <v>1.2777639187237286</v>
      </c>
    </row>
    <row r="327">
      <c r="B327" s="42"/>
      <c r="C327" s="162">
        <f t="shared" ref="C327:G327" si="124">NORMINV(rand(),0, 1)</f>
        <v>0.4160283931</v>
      </c>
      <c r="D327" s="163">
        <f t="shared" si="124"/>
        <v>1.346602449</v>
      </c>
      <c r="E327" s="164">
        <f t="shared" si="124"/>
        <v>-1.493088271</v>
      </c>
      <c r="F327" s="165">
        <f t="shared" si="124"/>
        <v>-0.5682031841</v>
      </c>
      <c r="G327" s="166">
        <f t="shared" si="124"/>
        <v>-0.8479248934</v>
      </c>
      <c r="H327" s="2"/>
      <c r="I327" s="42"/>
      <c r="J327" s="167">
        <v>-1.7689595718219613</v>
      </c>
      <c r="K327" s="168">
        <v>-0.9541119889795399</v>
      </c>
      <c r="L327" s="169">
        <v>0.05481425392847694</v>
      </c>
      <c r="M327" s="170">
        <v>-1.7995556103879968</v>
      </c>
      <c r="N327" s="171">
        <v>-4.469312456298174</v>
      </c>
      <c r="O327" s="101"/>
      <c r="P327" s="2"/>
      <c r="Q327" s="42"/>
      <c r="R327" s="162">
        <f t="shared" ref="R327:V327" si="125">NORMINV(rand(),0, 1)</f>
        <v>-0.2310730084</v>
      </c>
      <c r="S327" s="163">
        <f t="shared" si="125"/>
        <v>-1.169746035</v>
      </c>
      <c r="T327" s="164">
        <f t="shared" si="125"/>
        <v>1.043919396</v>
      </c>
      <c r="U327" s="165">
        <f t="shared" si="125"/>
        <v>-0.2233737743</v>
      </c>
      <c r="V327" s="166">
        <f t="shared" si="125"/>
        <v>-0.802114128</v>
      </c>
      <c r="W327" s="2"/>
      <c r="X327" s="42"/>
      <c r="Y327" s="167">
        <v>1.1610093032052173</v>
      </c>
      <c r="Z327" s="168">
        <v>-0.5761468414914906</v>
      </c>
      <c r="AA327" s="169">
        <v>-0.8580349663816627</v>
      </c>
      <c r="AB327" s="170">
        <v>1.0017053791596258</v>
      </c>
      <c r="AC327" s="171">
        <v>2.1267766322434776</v>
      </c>
    </row>
    <row r="328">
      <c r="B328" s="1"/>
      <c r="C328" s="2"/>
      <c r="D328" s="2"/>
      <c r="E328" s="2"/>
      <c r="F328" s="2"/>
      <c r="G328" s="2"/>
      <c r="H328" s="2"/>
      <c r="I328" s="98" t="s">
        <v>3</v>
      </c>
      <c r="J328" s="2"/>
      <c r="K328" s="2"/>
      <c r="L328" s="2"/>
      <c r="M328" s="2"/>
      <c r="N328" s="2"/>
      <c r="O328" s="101"/>
      <c r="P328" s="2"/>
      <c r="Q328" s="2"/>
      <c r="R328" s="2"/>
      <c r="S328" s="2"/>
      <c r="T328" s="2"/>
      <c r="U328" s="2"/>
      <c r="V328" s="2"/>
      <c r="W328" s="2"/>
      <c r="X328" s="98" t="s">
        <v>3</v>
      </c>
      <c r="Y328" s="2"/>
      <c r="Z328" s="2"/>
      <c r="AA328" s="2"/>
      <c r="AB328" s="2"/>
      <c r="AC328" s="2"/>
    </row>
    <row r="329">
      <c r="B329" s="1"/>
      <c r="C329" s="2"/>
      <c r="D329" s="2"/>
      <c r="E329" s="2"/>
      <c r="F329" s="2"/>
      <c r="G329" s="2"/>
      <c r="H329" s="2"/>
      <c r="I329" s="98" t="s">
        <v>3</v>
      </c>
      <c r="J329" s="2"/>
      <c r="K329" s="2"/>
      <c r="L329" s="2"/>
      <c r="M329" s="2"/>
      <c r="N329" s="2"/>
      <c r="O329" s="101"/>
      <c r="P329" s="2"/>
      <c r="Q329" s="2"/>
      <c r="R329" s="2"/>
      <c r="S329" s="2"/>
      <c r="T329" s="2"/>
      <c r="U329" s="2"/>
      <c r="V329" s="2"/>
      <c r="W329" s="2"/>
      <c r="X329" s="98" t="s">
        <v>3</v>
      </c>
      <c r="Y329" s="2"/>
      <c r="Z329" s="2"/>
      <c r="AA329" s="2"/>
      <c r="AB329" s="2"/>
      <c r="AC329" s="2"/>
    </row>
    <row r="330">
      <c r="B330" s="1"/>
      <c r="C330" s="2"/>
      <c r="D330" s="2"/>
      <c r="E330" s="2"/>
      <c r="F330" s="66" t="s">
        <v>54</v>
      </c>
      <c r="G330" s="7">
        <f t="array" ref="G330:K334">MMULT(J323:N327,N316:R320)</f>
        <v>1.668745217</v>
      </c>
      <c r="H330" s="8">
        <v>0.5470057383242741</v>
      </c>
      <c r="I330" s="8">
        <v>2.1224111229639266</v>
      </c>
      <c r="J330" s="8">
        <v>3.5670726759765934</v>
      </c>
      <c r="K330" s="9">
        <v>9.510137152924433E-6</v>
      </c>
      <c r="L330" s="2"/>
      <c r="M330" s="2"/>
      <c r="N330" s="2"/>
      <c r="O330" s="101"/>
      <c r="P330" s="2"/>
      <c r="Q330" s="2"/>
      <c r="R330" s="2"/>
      <c r="S330" s="2"/>
      <c r="T330" s="2"/>
      <c r="U330" s="66" t="s">
        <v>55</v>
      </c>
      <c r="V330" s="7">
        <f t="array" ref="V330:Z334">MMULT(Y323:AC327,N316:R320)</f>
        <v>3.300679167</v>
      </c>
      <c r="W330" s="8">
        <v>0.8869854933622697</v>
      </c>
      <c r="X330" s="8">
        <v>0.35120332647368124</v>
      </c>
      <c r="Y330" s="8">
        <v>7.030338607375663</v>
      </c>
      <c r="Z330" s="9">
        <v>4.088460351791325E-5</v>
      </c>
      <c r="AA330" s="2"/>
      <c r="AB330" s="2"/>
      <c r="AC330" s="2"/>
    </row>
    <row r="331">
      <c r="B331" s="1"/>
      <c r="C331" s="2"/>
      <c r="D331" s="2"/>
      <c r="E331" s="2"/>
      <c r="F331" s="2"/>
      <c r="G331" s="11">
        <v>0.5925188529794743</v>
      </c>
      <c r="H331" s="10">
        <v>0.9683112957014893</v>
      </c>
      <c r="I331" s="10">
        <v>1.4277072882304365</v>
      </c>
      <c r="J331" s="10">
        <v>0.1590108120301409</v>
      </c>
      <c r="K331" s="12">
        <v>-4.33523722699949E-6</v>
      </c>
      <c r="L331" s="2"/>
      <c r="M331" s="2"/>
      <c r="N331" s="2"/>
      <c r="O331" s="101"/>
      <c r="P331" s="2"/>
      <c r="Q331" s="2"/>
      <c r="R331" s="2"/>
      <c r="S331" s="2"/>
      <c r="T331" s="2"/>
      <c r="U331" s="2"/>
      <c r="V331" s="11">
        <v>-3.2316903939184884</v>
      </c>
      <c r="W331" s="10">
        <v>-0.8038363531228239</v>
      </c>
      <c r="X331" s="10">
        <v>0.9410126459049998</v>
      </c>
      <c r="Y331" s="10">
        <v>-3.9557106658117664</v>
      </c>
      <c r="Z331" s="12">
        <v>-3.157935785783225E-5</v>
      </c>
      <c r="AA331" s="2"/>
      <c r="AB331" s="2"/>
      <c r="AC331" s="2"/>
    </row>
    <row r="332">
      <c r="B332" s="1"/>
      <c r="C332" s="2"/>
      <c r="D332" s="2"/>
      <c r="E332" s="2"/>
      <c r="F332" s="2"/>
      <c r="G332" s="11">
        <v>3.8400877919538132</v>
      </c>
      <c r="H332" s="10">
        <v>1.5055442529861582</v>
      </c>
      <c r="I332" s="10">
        <v>1.1638686734664094</v>
      </c>
      <c r="J332" s="10">
        <v>4.943153980522013</v>
      </c>
      <c r="K332" s="12">
        <v>2.6574658717250606E-5</v>
      </c>
      <c r="L332" s="2"/>
      <c r="M332" s="2"/>
      <c r="N332" s="2"/>
      <c r="O332" s="101"/>
      <c r="P332" s="2"/>
      <c r="Q332" s="2"/>
      <c r="R332" s="2"/>
      <c r="S332" s="2"/>
      <c r="T332" s="2"/>
      <c r="U332" s="2"/>
      <c r="V332" s="11">
        <v>2.195300569193567</v>
      </c>
      <c r="W332" s="10">
        <v>1.6536699913568536</v>
      </c>
      <c r="X332" s="10">
        <v>1.4301541241754028</v>
      </c>
      <c r="Y332" s="10">
        <v>1.0603135102338743</v>
      </c>
      <c r="Z332" s="12">
        <v>7.637910272950656E-6</v>
      </c>
      <c r="AA332" s="2"/>
      <c r="AB332" s="2"/>
      <c r="AC332" s="2"/>
    </row>
    <row r="333">
      <c r="B333" s="1"/>
      <c r="C333" s="2"/>
      <c r="D333" s="2"/>
      <c r="E333" s="2"/>
      <c r="F333" s="2"/>
      <c r="G333" s="11">
        <v>2.4779274253378585</v>
      </c>
      <c r="H333" s="10">
        <v>2.2158855642936715</v>
      </c>
      <c r="I333" s="10">
        <v>2.511496726131063</v>
      </c>
      <c r="J333" s="10">
        <v>-2.5263778176448533</v>
      </c>
      <c r="K333" s="12">
        <v>-1.722093886708968E-5</v>
      </c>
      <c r="L333" s="2"/>
      <c r="M333" s="2"/>
      <c r="N333" s="2"/>
      <c r="O333" s="101"/>
      <c r="P333" s="2"/>
      <c r="Q333" s="2"/>
      <c r="R333" s="2"/>
      <c r="S333" s="2"/>
      <c r="T333" s="2"/>
      <c r="U333" s="2"/>
      <c r="V333" s="11">
        <v>-3.5733359998964955</v>
      </c>
      <c r="W333" s="10">
        <v>-0.7128210744781039</v>
      </c>
      <c r="X333" s="10">
        <v>-0.030798689634791626</v>
      </c>
      <c r="Y333" s="10">
        <v>1.8724423040453133</v>
      </c>
      <c r="Z333" s="12">
        <v>8.850283218461565E-6</v>
      </c>
      <c r="AA333" s="2"/>
      <c r="AB333" s="2"/>
      <c r="AC333" s="2"/>
    </row>
    <row r="334">
      <c r="B334" s="1"/>
      <c r="C334" s="2"/>
      <c r="D334" s="2"/>
      <c r="E334" s="2"/>
      <c r="F334" s="2"/>
      <c r="G334" s="13">
        <v>-2.0029786657430413</v>
      </c>
      <c r="H334" s="14">
        <v>-0.9986676552565358</v>
      </c>
      <c r="I334" s="14">
        <v>-0.27866835074075863</v>
      </c>
      <c r="J334" s="14">
        <v>-5.656779745645774</v>
      </c>
      <c r="K334" s="15">
        <v>-3.0956173085201404E-5</v>
      </c>
      <c r="L334" s="2"/>
      <c r="M334" s="2"/>
      <c r="N334" s="2"/>
      <c r="O334" s="101"/>
      <c r="P334" s="2"/>
      <c r="Q334" s="2"/>
      <c r="R334" s="2"/>
      <c r="S334" s="2"/>
      <c r="T334" s="2"/>
      <c r="U334" s="2"/>
      <c r="V334" s="13">
        <v>0.9095379636514846</v>
      </c>
      <c r="W334" s="14">
        <v>-0.4519481171598309</v>
      </c>
      <c r="X334" s="14">
        <v>-0.3902445528504172</v>
      </c>
      <c r="Y334" s="14">
        <v>2.7879494822228663</v>
      </c>
      <c r="Z334" s="15">
        <v>1.4730871064633942E-5</v>
      </c>
      <c r="AA334" s="2"/>
      <c r="AB334" s="2"/>
      <c r="AC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01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01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01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01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01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3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3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4" t="s">
        <v>67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B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3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3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3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B347" s="194"/>
      <c r="C347" s="194"/>
      <c r="E347" s="195"/>
      <c r="F347" s="2"/>
      <c r="G347" s="2"/>
      <c r="H347" s="2"/>
      <c r="I347" s="2"/>
      <c r="J347" s="2"/>
      <c r="K347" s="2"/>
      <c r="L347" s="2"/>
      <c r="M347" s="2"/>
      <c r="N347" s="2"/>
      <c r="O347" s="3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B348" s="194"/>
      <c r="C348" s="194" t="s">
        <v>68</v>
      </c>
      <c r="E348" s="195" t="s">
        <v>69</v>
      </c>
      <c r="F348" s="2"/>
      <c r="G348" s="2"/>
      <c r="H348" s="2"/>
      <c r="I348" s="2"/>
      <c r="J348" s="2"/>
      <c r="K348" s="2"/>
      <c r="L348" s="2"/>
      <c r="M348" s="2"/>
      <c r="N348" s="2"/>
      <c r="O348" s="3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196" t="s">
        <v>70</v>
      </c>
      <c r="C349" s="21">
        <v>768.0</v>
      </c>
      <c r="E349" s="21">
        <v>10.0</v>
      </c>
      <c r="F349" s="2"/>
      <c r="G349" s="2"/>
      <c r="H349" s="2"/>
      <c r="I349" s="2"/>
      <c r="J349" s="2"/>
      <c r="K349" s="2"/>
      <c r="L349" s="2"/>
      <c r="M349" s="2"/>
      <c r="N349" s="2"/>
      <c r="O349" s="3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3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B351" s="6" t="s">
        <v>71</v>
      </c>
      <c r="C351" s="21">
        <v>12.0</v>
      </c>
      <c r="E351" s="21">
        <v>2.0</v>
      </c>
      <c r="F351" s="2"/>
      <c r="G351" s="2"/>
      <c r="H351" s="2"/>
      <c r="I351" s="2"/>
      <c r="J351" s="2"/>
      <c r="K351" s="2"/>
      <c r="L351" s="2"/>
      <c r="M351" s="2"/>
      <c r="N351" s="2"/>
      <c r="O351" s="3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B352" s="1"/>
      <c r="C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3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196" t="s">
        <v>72</v>
      </c>
      <c r="C353" s="2">
        <f>C349/C351</f>
        <v>64</v>
      </c>
      <c r="E353" s="2">
        <f>E349/E351</f>
        <v>5</v>
      </c>
      <c r="F353" s="2"/>
      <c r="G353" s="2"/>
      <c r="H353" s="2"/>
      <c r="I353" s="2"/>
      <c r="J353" s="2"/>
      <c r="K353" s="2"/>
      <c r="L353" s="2"/>
      <c r="M353" s="2"/>
      <c r="N353" s="2"/>
      <c r="O353" s="3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3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3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4" t="s">
        <v>76</v>
      </c>
      <c r="AA356" s="4"/>
      <c r="AB356" s="4"/>
      <c r="AC356" s="4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3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D358" s="6" t="s">
        <v>75</v>
      </c>
      <c r="E358" s="21">
        <v>10.0</v>
      </c>
      <c r="F358" s="2"/>
      <c r="G358" s="2"/>
      <c r="H358" s="2"/>
      <c r="I358" s="2"/>
      <c r="J358" s="2"/>
      <c r="K358" s="2"/>
      <c r="L358" s="2"/>
      <c r="M358" s="2"/>
      <c r="N358" s="2"/>
      <c r="O358" s="3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D359" s="6" t="s">
        <v>72</v>
      </c>
      <c r="E359" s="21">
        <v>5.0</v>
      </c>
      <c r="F359" s="2"/>
      <c r="G359" s="2"/>
      <c r="H359" s="2"/>
      <c r="I359" s="2"/>
      <c r="J359" s="2"/>
      <c r="K359" s="2"/>
      <c r="L359" s="2"/>
      <c r="M359" s="2"/>
      <c r="N359" s="2"/>
      <c r="O359" s="3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3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42"/>
      <c r="B361" s="42"/>
      <c r="C361" s="42"/>
      <c r="F361" s="42"/>
      <c r="G361" s="42"/>
      <c r="H361" s="42"/>
      <c r="I361" s="34" t="s">
        <v>1</v>
      </c>
      <c r="J361" s="198">
        <f t="shared" ref="J361:S361" si="126">NORMINV(rand(),0, 1)</f>
        <v>0.5302891618</v>
      </c>
      <c r="K361" s="199">
        <f t="shared" si="126"/>
        <v>-0.08160522284</v>
      </c>
      <c r="L361" s="200">
        <f t="shared" si="126"/>
        <v>-0.2096044989</v>
      </c>
      <c r="M361" s="201">
        <f t="shared" si="126"/>
        <v>-0.5473770478</v>
      </c>
      <c r="N361" s="202">
        <f t="shared" si="126"/>
        <v>1.358236917</v>
      </c>
      <c r="O361" s="203">
        <f t="shared" si="126"/>
        <v>1.62356583</v>
      </c>
      <c r="P361" s="199">
        <f t="shared" si="126"/>
        <v>-0.9576893759</v>
      </c>
      <c r="Q361" s="200">
        <f t="shared" si="126"/>
        <v>0.8879589865</v>
      </c>
      <c r="R361" s="201">
        <f t="shared" si="126"/>
        <v>-1.005236131</v>
      </c>
      <c r="S361" s="204">
        <f t="shared" si="126"/>
        <v>0.01759111367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42"/>
      <c r="B362" s="42"/>
      <c r="C362" s="42"/>
      <c r="D362" s="42"/>
      <c r="E362" s="42"/>
      <c r="F362" s="42"/>
      <c r="G362" s="42"/>
      <c r="H362" s="42"/>
      <c r="I362" s="34" t="s">
        <v>2</v>
      </c>
      <c r="J362" s="205">
        <f t="shared" ref="J362:S362" si="127">NORMINV(rand(),0, 1)</f>
        <v>-0.2708049412</v>
      </c>
      <c r="K362" s="84">
        <f t="shared" si="127"/>
        <v>0.693426325</v>
      </c>
      <c r="L362" s="206">
        <f t="shared" si="127"/>
        <v>0.6523629936</v>
      </c>
      <c r="M362" s="207">
        <f t="shared" si="127"/>
        <v>0.009231375519</v>
      </c>
      <c r="N362" s="208">
        <f t="shared" si="127"/>
        <v>-0.7549703462</v>
      </c>
      <c r="O362" s="209">
        <f t="shared" si="127"/>
        <v>-1.406647756</v>
      </c>
      <c r="P362" s="84">
        <f t="shared" si="127"/>
        <v>-0.4655854946</v>
      </c>
      <c r="Q362" s="206">
        <f t="shared" si="127"/>
        <v>-1.457683019</v>
      </c>
      <c r="R362" s="207">
        <f t="shared" si="127"/>
        <v>-0.7381235643</v>
      </c>
      <c r="S362" s="210">
        <f t="shared" si="127"/>
        <v>-0.1485941734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211">
        <f t="shared" ref="J363:S363" si="128">NORMINV(rand(),0, 1)</f>
        <v>-1.233104331</v>
      </c>
      <c r="K363" s="212">
        <f t="shared" si="128"/>
        <v>0.9015819719</v>
      </c>
      <c r="L363" s="213">
        <f t="shared" si="128"/>
        <v>-0.07309843622</v>
      </c>
      <c r="M363" s="214">
        <f t="shared" si="128"/>
        <v>0.006163098218</v>
      </c>
      <c r="N363" s="215">
        <f t="shared" si="128"/>
        <v>-1.271999975</v>
      </c>
      <c r="O363" s="216">
        <f t="shared" si="128"/>
        <v>-1.278402727</v>
      </c>
      <c r="P363" s="212">
        <f t="shared" si="128"/>
        <v>0.5082712556</v>
      </c>
      <c r="Q363" s="213">
        <f t="shared" si="128"/>
        <v>-0.9087477917</v>
      </c>
      <c r="R363" s="214">
        <f t="shared" si="128"/>
        <v>-0.8624662767</v>
      </c>
      <c r="S363" s="217">
        <f t="shared" si="128"/>
        <v>-1.267986548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218">
        <f t="shared" ref="J364:S364" si="129">NORMINV(rand(),0, 1)</f>
        <v>0.3771434265</v>
      </c>
      <c r="K364" s="219">
        <f t="shared" si="129"/>
        <v>1.090392889</v>
      </c>
      <c r="L364" s="220">
        <f t="shared" si="129"/>
        <v>-1.009567409</v>
      </c>
      <c r="M364" s="221">
        <f t="shared" si="129"/>
        <v>0.797537686</v>
      </c>
      <c r="N364" s="83">
        <f t="shared" si="129"/>
        <v>-0.3370494942</v>
      </c>
      <c r="O364" s="222">
        <f t="shared" si="129"/>
        <v>-0.2069844318</v>
      </c>
      <c r="P364" s="219">
        <f t="shared" si="129"/>
        <v>-2.095018516</v>
      </c>
      <c r="Q364" s="220">
        <f t="shared" si="129"/>
        <v>0.5431478992</v>
      </c>
      <c r="R364" s="221">
        <f t="shared" si="129"/>
        <v>-0.8141941171</v>
      </c>
      <c r="S364" s="223">
        <f t="shared" si="129"/>
        <v>-0.6318671842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224">
        <f t="shared" ref="J365:S365" si="130">NORMINV(rand(),0, 1)</f>
        <v>1.16974117</v>
      </c>
      <c r="K365" s="225">
        <f t="shared" si="130"/>
        <v>-1.367531158</v>
      </c>
      <c r="L365" s="226">
        <f t="shared" si="130"/>
        <v>0.8139768439</v>
      </c>
      <c r="M365" s="227">
        <f t="shared" si="130"/>
        <v>-0.02342071074</v>
      </c>
      <c r="N365" s="228">
        <f t="shared" si="130"/>
        <v>0.9032086483</v>
      </c>
      <c r="O365" s="226">
        <f t="shared" si="130"/>
        <v>0.8079914271</v>
      </c>
      <c r="P365" s="225">
        <f t="shared" si="130"/>
        <v>0.7224510868</v>
      </c>
      <c r="Q365" s="226">
        <f t="shared" si="130"/>
        <v>-0.1092334985</v>
      </c>
      <c r="R365" s="227">
        <f t="shared" si="130"/>
        <v>2.502376962</v>
      </c>
      <c r="S365" s="229">
        <f t="shared" si="130"/>
        <v>0.7316656724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42"/>
      <c r="C366" s="42"/>
      <c r="D366" s="42"/>
      <c r="E366" s="42"/>
      <c r="F366" s="42"/>
      <c r="G366" s="42"/>
      <c r="H366" s="42"/>
      <c r="I366" s="42"/>
      <c r="J366" s="42"/>
      <c r="K366" s="94"/>
      <c r="L366" s="43" t="s">
        <v>3</v>
      </c>
      <c r="M366" s="94"/>
      <c r="N366" s="94"/>
      <c r="O366" s="3"/>
      <c r="P366" s="2"/>
      <c r="Q366" s="2"/>
      <c r="R366" s="43" t="s">
        <v>3</v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42"/>
      <c r="C367" s="42"/>
      <c r="D367" s="42"/>
      <c r="E367" s="42"/>
      <c r="F367" s="42"/>
      <c r="G367" s="42"/>
      <c r="H367" s="42"/>
      <c r="I367" s="42"/>
      <c r="J367" s="42"/>
      <c r="K367" s="42"/>
      <c r="L367" s="43" t="s">
        <v>3</v>
      </c>
      <c r="M367" s="94"/>
      <c r="N367" s="42"/>
      <c r="O367" s="3"/>
      <c r="P367" s="2"/>
      <c r="Q367" s="2"/>
      <c r="R367" s="43" t="s">
        <v>3</v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42"/>
      <c r="B368" s="66" t="s">
        <v>42</v>
      </c>
      <c r="C368" s="230">
        <f t="shared" ref="C368:G368" si="131">NORMINV(rand(),0, 1)</f>
        <v>1.532721798</v>
      </c>
      <c r="D368" s="231">
        <f t="shared" si="131"/>
        <v>-1.183067656</v>
      </c>
      <c r="E368" s="232">
        <f t="shared" si="131"/>
        <v>0.7779661723</v>
      </c>
      <c r="F368" s="233">
        <f t="shared" si="131"/>
        <v>-0.6809622615</v>
      </c>
      <c r="G368" s="234">
        <f t="shared" si="131"/>
        <v>-2.350008054</v>
      </c>
      <c r="H368" s="94"/>
      <c r="I368" s="66" t="s">
        <v>43</v>
      </c>
      <c r="J368" s="235">
        <f t="array" ref="J368:N372">MMULT(J361:S365,C368:G377)</f>
        <v>2.416883381</v>
      </c>
      <c r="K368" s="236">
        <v>-3.0563508962756036</v>
      </c>
      <c r="L368" s="236">
        <v>-0.470326901322681</v>
      </c>
      <c r="M368" s="236">
        <v>-2.513346938164819</v>
      </c>
      <c r="N368" s="237">
        <v>-2.0216699417931765</v>
      </c>
      <c r="O368" s="3"/>
      <c r="P368" s="2"/>
      <c r="Q368" s="2"/>
      <c r="R368" s="43" t="s">
        <v>3</v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42"/>
      <c r="C369" s="238">
        <f t="shared" ref="C369:G369" si="132">NORMINV(rand(),0, 1)</f>
        <v>0.7120111973</v>
      </c>
      <c r="D369" s="239">
        <f t="shared" si="132"/>
        <v>1.046891773</v>
      </c>
      <c r="E369" s="240">
        <f t="shared" si="132"/>
        <v>-0.737957131</v>
      </c>
      <c r="F369" s="241">
        <f t="shared" si="132"/>
        <v>1.210136422</v>
      </c>
      <c r="G369" s="242">
        <f t="shared" si="132"/>
        <v>0.1738176863</v>
      </c>
      <c r="H369" s="94"/>
      <c r="I369" s="34" t="s">
        <v>6</v>
      </c>
      <c r="J369" s="243">
        <v>-1.3297264397416073</v>
      </c>
      <c r="K369" s="94">
        <v>4.954405661257642</v>
      </c>
      <c r="L369" s="94">
        <v>-0.5318318171023944</v>
      </c>
      <c r="M369" s="94">
        <v>2.8349441472331915</v>
      </c>
      <c r="N369" s="244">
        <v>-2.561438512114272</v>
      </c>
      <c r="O369" s="3"/>
      <c r="P369" s="2"/>
      <c r="Q369" s="2"/>
      <c r="R369" s="43" t="s">
        <v>3</v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42"/>
      <c r="B370" s="42"/>
      <c r="C370" s="245">
        <f t="shared" ref="C370:G370" si="133">NORMINV(rand(),0, 1)</f>
        <v>-0.559748091</v>
      </c>
      <c r="D370" s="246">
        <f t="shared" si="133"/>
        <v>2.996798327</v>
      </c>
      <c r="E370" s="247">
        <f t="shared" si="133"/>
        <v>-0.4624836656</v>
      </c>
      <c r="F370" s="248">
        <f t="shared" si="133"/>
        <v>0.4081282639</v>
      </c>
      <c r="G370" s="249">
        <f t="shared" si="133"/>
        <v>0.9731172083</v>
      </c>
      <c r="H370" s="43" t="s">
        <v>7</v>
      </c>
      <c r="I370" s="43" t="s">
        <v>7</v>
      </c>
      <c r="J370" s="243">
        <v>-1.6773563108759293</v>
      </c>
      <c r="K370" s="94">
        <v>3.7763406789493947</v>
      </c>
      <c r="L370" s="94">
        <v>-1.4049381518020956</v>
      </c>
      <c r="M370" s="94">
        <v>2.7050679182277264</v>
      </c>
      <c r="N370" s="244">
        <v>1.756885665010207</v>
      </c>
      <c r="O370" s="3"/>
      <c r="P370" s="2"/>
      <c r="Q370" s="2"/>
      <c r="R370" s="43" t="s">
        <v>3</v>
      </c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42"/>
      <c r="B371" s="42"/>
      <c r="C371" s="250">
        <f t="shared" ref="C371:G371" si="134">NORMINV(rand(),0, 1)</f>
        <v>-0.3733204864</v>
      </c>
      <c r="D371" s="220">
        <f t="shared" si="134"/>
        <v>-0.3340526396</v>
      </c>
      <c r="E371" s="251">
        <f t="shared" si="134"/>
        <v>1.433379843</v>
      </c>
      <c r="F371" s="252">
        <f t="shared" si="134"/>
        <v>-0.02756111844</v>
      </c>
      <c r="G371" s="253">
        <f t="shared" si="134"/>
        <v>-0.6270456592</v>
      </c>
      <c r="H371" s="94"/>
      <c r="I371" s="42"/>
      <c r="J371" s="243">
        <v>0.5512521682922911</v>
      </c>
      <c r="K371" s="94">
        <v>-2.9013553518722377</v>
      </c>
      <c r="L371" s="94">
        <v>3.1068133739172565</v>
      </c>
      <c r="M371" s="94">
        <v>-1.7963507700992318</v>
      </c>
      <c r="N371" s="244">
        <v>-3.4674967025455183</v>
      </c>
      <c r="O371" s="3"/>
      <c r="P371" s="2"/>
      <c r="Q371" s="2"/>
      <c r="R371" s="43" t="s">
        <v>3</v>
      </c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42"/>
      <c r="C372" s="254">
        <f t="shared" ref="C372:G372" si="135">NORMINV(rand(),0, 1)</f>
        <v>0.9072475933</v>
      </c>
      <c r="D372" s="255">
        <f t="shared" si="135"/>
        <v>-0.1592134888</v>
      </c>
      <c r="E372" s="256">
        <f t="shared" si="135"/>
        <v>-0.02485640157</v>
      </c>
      <c r="F372" s="214">
        <f t="shared" si="135"/>
        <v>0.3702552812</v>
      </c>
      <c r="G372" s="257">
        <f t="shared" si="135"/>
        <v>-0.3208694402</v>
      </c>
      <c r="H372" s="94"/>
      <c r="I372" s="42"/>
      <c r="J372" s="258">
        <v>1.1432233944833468</v>
      </c>
      <c r="K372" s="259">
        <v>-1.139506755018324</v>
      </c>
      <c r="L372" s="259">
        <v>-0.9029623943791091</v>
      </c>
      <c r="M372" s="259">
        <v>-1.843380334154895</v>
      </c>
      <c r="N372" s="260">
        <v>1.3406558898136045</v>
      </c>
      <c r="O372" s="3"/>
      <c r="P372" s="2"/>
      <c r="Q372" s="2"/>
      <c r="R372" s="43" t="s">
        <v>3</v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B373" s="42"/>
      <c r="C373" s="261">
        <f t="shared" ref="C373:G373" si="136">NORMINV(rand(),0, 1)</f>
        <v>0.3593474705</v>
      </c>
      <c r="D373" s="262">
        <f t="shared" si="136"/>
        <v>-0.752815708</v>
      </c>
      <c r="E373" s="263">
        <f t="shared" si="136"/>
        <v>-1.422481576</v>
      </c>
      <c r="F373" s="69">
        <f t="shared" si="136"/>
        <v>-0.8436092085</v>
      </c>
      <c r="G373" s="264">
        <f t="shared" si="136"/>
        <v>0.2099012144</v>
      </c>
      <c r="O373" s="3"/>
      <c r="P373" s="2"/>
      <c r="Q373" s="2"/>
      <c r="R373" s="43" t="s">
        <v>3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B374" s="42"/>
      <c r="C374" s="238">
        <f t="shared" ref="C374:G374" si="137">NORMINV(rand(),0, 1)</f>
        <v>0.4994639905</v>
      </c>
      <c r="D374" s="239">
        <f t="shared" si="137"/>
        <v>0.1033230142</v>
      </c>
      <c r="E374" s="240">
        <f t="shared" si="137"/>
        <v>-0.4250257046</v>
      </c>
      <c r="F374" s="241">
        <f t="shared" si="137"/>
        <v>0.8615319629</v>
      </c>
      <c r="G374" s="242">
        <f t="shared" si="137"/>
        <v>0.7582501531</v>
      </c>
      <c r="H374" s="2"/>
      <c r="I374" s="2"/>
      <c r="J374" s="2"/>
      <c r="K374" s="2"/>
      <c r="L374" s="2"/>
      <c r="M374" s="2"/>
      <c r="N374" s="2"/>
      <c r="O374" s="3"/>
      <c r="P374" s="2"/>
      <c r="Q374" s="2"/>
      <c r="R374" s="43" t="s">
        <v>3</v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B375" s="42"/>
      <c r="C375" s="245">
        <f t="shared" ref="C375:G375" si="138">NORMINV(rand(),0, 1)</f>
        <v>-0.1415997964</v>
      </c>
      <c r="D375" s="246">
        <f t="shared" si="138"/>
        <v>-0.5283760248</v>
      </c>
      <c r="E375" s="247">
        <f t="shared" si="138"/>
        <v>1.372942728</v>
      </c>
      <c r="F375" s="248">
        <f t="shared" si="138"/>
        <v>-0.6592066298</v>
      </c>
      <c r="G375" s="249">
        <f t="shared" si="138"/>
        <v>1.722457772</v>
      </c>
      <c r="H375" s="2"/>
      <c r="I375" s="2"/>
      <c r="J375" s="2"/>
      <c r="K375" s="2"/>
      <c r="L375" s="2"/>
      <c r="M375" s="2"/>
      <c r="N375" s="2"/>
      <c r="O375" s="3"/>
      <c r="P375" s="2"/>
      <c r="Q375" s="2"/>
      <c r="R375" s="43" t="s">
        <v>3</v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B376" s="42"/>
      <c r="C376" s="250">
        <f t="shared" ref="C376:G376" si="139">NORMINV(rand(),0, 1)</f>
        <v>-0.1371392306</v>
      </c>
      <c r="D376" s="220">
        <f t="shared" si="139"/>
        <v>-0.1051265802</v>
      </c>
      <c r="E376" s="251">
        <f t="shared" si="139"/>
        <v>-0.4509969867</v>
      </c>
      <c r="F376" s="252">
        <f t="shared" si="139"/>
        <v>-0.2777293044</v>
      </c>
      <c r="G376" s="253">
        <f t="shared" si="139"/>
        <v>1.584121458</v>
      </c>
      <c r="H376" s="2"/>
      <c r="I376" s="2"/>
      <c r="J376" s="2"/>
      <c r="K376" s="2"/>
      <c r="L376" s="2"/>
      <c r="M376" s="2"/>
      <c r="N376" s="2"/>
      <c r="O376" s="3"/>
      <c r="P376" s="2"/>
      <c r="Q376" s="2"/>
      <c r="R376" s="43" t="s">
        <v>3</v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C377" s="265">
        <f t="shared" ref="C377:G377" si="140">NORMINV(rand(),0, 1)</f>
        <v>-0.5084338375</v>
      </c>
      <c r="D377" s="266">
        <f t="shared" si="140"/>
        <v>0.1526119117</v>
      </c>
      <c r="E377" s="267">
        <f t="shared" si="140"/>
        <v>0.4718828314</v>
      </c>
      <c r="F377" s="268">
        <f t="shared" si="140"/>
        <v>0.8514661643</v>
      </c>
      <c r="G377" s="269">
        <f t="shared" si="140"/>
        <v>-0.9335226748</v>
      </c>
      <c r="H377" s="2"/>
      <c r="I377" s="2"/>
      <c r="J377" s="2"/>
      <c r="K377" s="2"/>
      <c r="L377" s="2"/>
      <c r="M377" s="2"/>
      <c r="N377" s="2"/>
      <c r="R377" s="43" t="s">
        <v>3</v>
      </c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B378" s="1"/>
      <c r="O378" s="3"/>
      <c r="P378" s="2"/>
      <c r="Q378" s="2"/>
      <c r="R378" s="43" t="s">
        <v>3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B379" s="1"/>
      <c r="O379" s="3"/>
      <c r="P379" s="2"/>
      <c r="Q379" s="2"/>
      <c r="R379" s="43" t="s">
        <v>3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B380" s="66" t="s">
        <v>44</v>
      </c>
      <c r="C380" s="230">
        <f t="shared" ref="C380:G380" si="141">NORMINV(rand(),0, 1)</f>
        <v>-1.675131814</v>
      </c>
      <c r="D380" s="231">
        <f t="shared" si="141"/>
        <v>0.08481762187</v>
      </c>
      <c r="E380" s="232">
        <f t="shared" si="141"/>
        <v>-0.4665781084</v>
      </c>
      <c r="F380" s="233">
        <f t="shared" si="141"/>
        <v>-0.2105534156</v>
      </c>
      <c r="G380" s="234">
        <f t="shared" si="141"/>
        <v>-1.444424959</v>
      </c>
      <c r="H380" s="94"/>
      <c r="I380" s="66" t="s">
        <v>45</v>
      </c>
      <c r="J380" s="235">
        <f t="array" ref="J380:N384">MMULT(J361:S365, C380:G389)</f>
        <v>2.017928459</v>
      </c>
      <c r="K380" s="236">
        <v>-2.2212649730137586</v>
      </c>
      <c r="L380" s="236">
        <v>1.4033730485982279</v>
      </c>
      <c r="M380" s="236">
        <v>0.45387429762251186</v>
      </c>
      <c r="N380" s="237">
        <v>3.676301827193367</v>
      </c>
      <c r="O380" s="3"/>
      <c r="P380" s="2"/>
      <c r="Q380" s="2"/>
      <c r="R380" s="43" t="s">
        <v>3</v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C381" s="238">
        <f t="shared" ref="C381:G381" si="142">NORMINV(rand(),0, 1)</f>
        <v>-0.06359352235</v>
      </c>
      <c r="D381" s="239">
        <f t="shared" si="142"/>
        <v>0.02533122499</v>
      </c>
      <c r="E381" s="240">
        <f t="shared" si="142"/>
        <v>0.1028991809</v>
      </c>
      <c r="F381" s="241">
        <f t="shared" si="142"/>
        <v>1.882930685</v>
      </c>
      <c r="G381" s="242">
        <f t="shared" si="142"/>
        <v>-1.524051547</v>
      </c>
      <c r="H381" s="94"/>
      <c r="I381" s="34" t="s">
        <v>6</v>
      </c>
      <c r="J381" s="243">
        <v>-2.439049256586804</v>
      </c>
      <c r="K381" s="94">
        <v>0.9543714774712552</v>
      </c>
      <c r="L381" s="94">
        <v>-2.5430799352970417</v>
      </c>
      <c r="M381" s="94">
        <v>-1.4777343643308423</v>
      </c>
      <c r="N381" s="244">
        <v>-3.32753473962075</v>
      </c>
      <c r="O381" s="21" t="s">
        <v>41</v>
      </c>
      <c r="P381" s="21" t="s">
        <v>41</v>
      </c>
      <c r="Q381" s="21" t="s">
        <v>41</v>
      </c>
      <c r="R381" s="43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B382" s="42"/>
      <c r="C382" s="245">
        <f t="shared" ref="C382:G382" si="143">NORMINV(rand(),0, 1)</f>
        <v>-1.480804384</v>
      </c>
      <c r="D382" s="246">
        <f t="shared" si="143"/>
        <v>0.09418648813</v>
      </c>
      <c r="E382" s="247">
        <f t="shared" si="143"/>
        <v>-0.1284526747</v>
      </c>
      <c r="F382" s="248">
        <f t="shared" si="143"/>
        <v>-0.3574687504</v>
      </c>
      <c r="G382" s="249">
        <f t="shared" si="143"/>
        <v>1.809175841</v>
      </c>
      <c r="H382" s="43" t="s">
        <v>7</v>
      </c>
      <c r="I382" s="43" t="s">
        <v>7</v>
      </c>
      <c r="J382" s="243">
        <v>-1.1178935589113204</v>
      </c>
      <c r="K382" s="94">
        <v>2.2367239081415216</v>
      </c>
      <c r="L382" s="94">
        <v>1.048324111250972</v>
      </c>
      <c r="M382" s="94">
        <v>-0.49444551102458023</v>
      </c>
      <c r="N382" s="244">
        <v>-1.3843242934548745</v>
      </c>
      <c r="O382" s="3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B383" s="42"/>
      <c r="C383" s="250">
        <f t="shared" ref="C383:G383" si="144">NORMINV(rand(),0, 1)</f>
        <v>1.4760824</v>
      </c>
      <c r="D383" s="220">
        <f t="shared" si="144"/>
        <v>1.092059312</v>
      </c>
      <c r="E383" s="251">
        <f t="shared" si="144"/>
        <v>-1.150270909</v>
      </c>
      <c r="F383" s="252">
        <f t="shared" si="144"/>
        <v>-0.8404833256</v>
      </c>
      <c r="G383" s="253">
        <f t="shared" si="144"/>
        <v>-0.3138973403</v>
      </c>
      <c r="H383" s="94"/>
      <c r="I383" s="42"/>
      <c r="J383" s="243">
        <v>3.1515396554533193</v>
      </c>
      <c r="K383" s="94">
        <v>3.0033459937920686</v>
      </c>
      <c r="L383" s="94">
        <v>-0.26149504402549406</v>
      </c>
      <c r="M383" s="94">
        <v>-2.683477521538651</v>
      </c>
      <c r="N383" s="244">
        <v>-1.431600355960786</v>
      </c>
      <c r="O383" s="3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C384" s="254">
        <f t="shared" ref="C384:G384" si="145">NORMINV(rand(),0, 1)</f>
        <v>1.46789225</v>
      </c>
      <c r="D384" s="255">
        <f t="shared" si="145"/>
        <v>-1.457136025</v>
      </c>
      <c r="E384" s="256">
        <f t="shared" si="145"/>
        <v>0.1298637203</v>
      </c>
      <c r="F384" s="214">
        <f t="shared" si="145"/>
        <v>2.902342169</v>
      </c>
      <c r="G384" s="257">
        <f t="shared" si="145"/>
        <v>0.02908946514</v>
      </c>
      <c r="H384" s="94"/>
      <c r="I384" s="42"/>
      <c r="J384" s="258">
        <v>-2.0681808201114134</v>
      </c>
      <c r="K384" s="259">
        <v>-1.2255363226594036</v>
      </c>
      <c r="L384" s="259">
        <v>-1.2606757637484363</v>
      </c>
      <c r="M384" s="259">
        <v>3.6269618389414813</v>
      </c>
      <c r="N384" s="260">
        <v>-0.9730312901195778</v>
      </c>
      <c r="O384" s="3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B385" s="42"/>
      <c r="C385" s="261">
        <f t="shared" ref="C385:G385" si="146">NORMINV(rand(),0, 1)</f>
        <v>0.1067994187</v>
      </c>
      <c r="D385" s="262">
        <f t="shared" si="146"/>
        <v>0.06757295783</v>
      </c>
      <c r="E385" s="263">
        <f t="shared" si="146"/>
        <v>-0.009244608016</v>
      </c>
      <c r="F385" s="69">
        <f t="shared" si="146"/>
        <v>-0.3147593418</v>
      </c>
      <c r="G385" s="264">
        <f t="shared" si="146"/>
        <v>0.6020508087</v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B386" s="42"/>
      <c r="C386" s="238">
        <f t="shared" ref="C386:G386" si="147">NORMINV(rand(),0, 1)</f>
        <v>-0.7215462951</v>
      </c>
      <c r="D386" s="239">
        <f t="shared" si="147"/>
        <v>-0.6183542646</v>
      </c>
      <c r="E386" s="240">
        <f t="shared" si="147"/>
        <v>0.5388604882</v>
      </c>
      <c r="F386" s="241">
        <f t="shared" si="147"/>
        <v>1.140717104</v>
      </c>
      <c r="G386" s="242">
        <f t="shared" si="147"/>
        <v>-0.1610918801</v>
      </c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B387" s="42"/>
      <c r="C387" s="245">
        <f t="shared" ref="C387:G387" si="148">NORMINV(rand(),0, 1)</f>
        <v>0.6329750821</v>
      </c>
      <c r="D387" s="246">
        <f t="shared" si="148"/>
        <v>0.1486319919</v>
      </c>
      <c r="E387" s="247">
        <f t="shared" si="148"/>
        <v>1.681004885</v>
      </c>
      <c r="F387" s="248">
        <f t="shared" si="148"/>
        <v>-0.5262074423</v>
      </c>
      <c r="G387" s="249">
        <f t="shared" si="148"/>
        <v>2.658301722</v>
      </c>
      <c r="H387" s="2"/>
      <c r="I387" s="2"/>
      <c r="J387" s="2"/>
      <c r="K387" s="2"/>
      <c r="L387" s="2"/>
      <c r="M387" s="2"/>
      <c r="N387" s="2"/>
      <c r="O387" s="3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B388" s="42"/>
      <c r="C388" s="250">
        <f t="shared" ref="C388:G388" si="149">NORMINV(rand(),0, 1)</f>
        <v>0.02527849786</v>
      </c>
      <c r="D388" s="220">
        <f t="shared" si="149"/>
        <v>0.4792792112</v>
      </c>
      <c r="E388" s="251">
        <f t="shared" si="149"/>
        <v>0.1087098082</v>
      </c>
      <c r="F388" s="252">
        <f t="shared" si="149"/>
        <v>1.6618953</v>
      </c>
      <c r="G388" s="253">
        <f t="shared" si="149"/>
        <v>-0.999228953</v>
      </c>
      <c r="H388" s="2"/>
      <c r="I388" s="2"/>
      <c r="J388" s="2"/>
      <c r="K388" s="2"/>
      <c r="L388" s="2"/>
      <c r="M388" s="2"/>
      <c r="N388" s="2"/>
      <c r="O388" s="3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C389" s="265">
        <f t="shared" ref="C389:G389" si="150">NORMINV(rand(),0, 1)</f>
        <v>0.2177179497</v>
      </c>
      <c r="D389" s="266">
        <f t="shared" si="150"/>
        <v>-1.115359184</v>
      </c>
      <c r="E389" s="267">
        <f t="shared" si="150"/>
        <v>-1.48168856</v>
      </c>
      <c r="F389" s="268">
        <f t="shared" si="150"/>
        <v>-0.9401428018</v>
      </c>
      <c r="G389" s="269">
        <f t="shared" si="150"/>
        <v>-0.619294463</v>
      </c>
      <c r="H389" s="2"/>
      <c r="I389" s="2"/>
      <c r="J389" s="2"/>
      <c r="K389" s="2"/>
      <c r="L389" s="2"/>
      <c r="M389" s="2"/>
      <c r="N389" s="2"/>
      <c r="O389" s="3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3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3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3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3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3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3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3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3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3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3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3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3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3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3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3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3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3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3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3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3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3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3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3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3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3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3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3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3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3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3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3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3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3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3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3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3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3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3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3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3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3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3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3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3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3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3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3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3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3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3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3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3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3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3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3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3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3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3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3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3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3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3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3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3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3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3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3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3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3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3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3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3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3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3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3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3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3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3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3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3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3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3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3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3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3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3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3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3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3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3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3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3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3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3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3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3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3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3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3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3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3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3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3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3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3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3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3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3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3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3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3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3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3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3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3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3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3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3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3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3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3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3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3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3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3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3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3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3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3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3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3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3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3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3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3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3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3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3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3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3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3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3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3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3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3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3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3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3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3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3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3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3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3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3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3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3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3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3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3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3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3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3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3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3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3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3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3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3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3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3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3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3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3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3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3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3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3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3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3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3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3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3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3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3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3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3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3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3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3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3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3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3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3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3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3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3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3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3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3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3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3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3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3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3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3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3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3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3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3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3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3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3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3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3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3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3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3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3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3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3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3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3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3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3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3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3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3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3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3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3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3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3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3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3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3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3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3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3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3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3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3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3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3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3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3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3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3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3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3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3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3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3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3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3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3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3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3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3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3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3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3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3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3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3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3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3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3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3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3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3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3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3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3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3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3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3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3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3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3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3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3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3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3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3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3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3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3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3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3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3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3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3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3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3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3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3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3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3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3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3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3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3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3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3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3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3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3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3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3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3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3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3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3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3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3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3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3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3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3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3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3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3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3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3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3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3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3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3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3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3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3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3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3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3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3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3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3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3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3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3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3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3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3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3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3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3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3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3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3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3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3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3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3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3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3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3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3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3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3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3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3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3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3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3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3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3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3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3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3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3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3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3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3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3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3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3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3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3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3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3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3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3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3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3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3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3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3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3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3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3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3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3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3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3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3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3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3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3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3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3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3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3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3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3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3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3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3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3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3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3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3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3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3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3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3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3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3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3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3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3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3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3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3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3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3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3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3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3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3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3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3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3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3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3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3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3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3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3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3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3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3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3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3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3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3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3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3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3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3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3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3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3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3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3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3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3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3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3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3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3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3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3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3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3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3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3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3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3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3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3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3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3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3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3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3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3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3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3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3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3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3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3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3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3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3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3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3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3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3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3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3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3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3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3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3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3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3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3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3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3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3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3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3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3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3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3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3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3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3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3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3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3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3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3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3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3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3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3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3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3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3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3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3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3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3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3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3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3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3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3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3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3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3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3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3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3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3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3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3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3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3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3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3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3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3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3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3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3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3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3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3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3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3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3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3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3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3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3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3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3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3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3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3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3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3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3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3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3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3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3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3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3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3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3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3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3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3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3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3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3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3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3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3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3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3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3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3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3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3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3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3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3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3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3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3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3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3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3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3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3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3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3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3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3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3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3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3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3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3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3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3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3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3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3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3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3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3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3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3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3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3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3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3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3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3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3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3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3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</sheetData>
  <mergeCells count="18">
    <mergeCell ref="A10:Z10"/>
    <mergeCell ref="C12:E12"/>
    <mergeCell ref="A25:Z25"/>
    <mergeCell ref="C27:E27"/>
    <mergeCell ref="A40:Z40"/>
    <mergeCell ref="C42:E42"/>
    <mergeCell ref="A55:Z55"/>
    <mergeCell ref="A349:B350"/>
    <mergeCell ref="A353:B354"/>
    <mergeCell ref="A356:Z356"/>
    <mergeCell ref="C361:E361"/>
    <mergeCell ref="A81:Z81"/>
    <mergeCell ref="A117:Z117"/>
    <mergeCell ref="A143:Z143"/>
    <mergeCell ref="A162:Z162"/>
    <mergeCell ref="A199:Z199"/>
    <mergeCell ref="A251:Z251"/>
    <mergeCell ref="A289:Z289"/>
  </mergeCells>
  <conditionalFormatting sqref="J12:O16 J368:N372 J380:N38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:G24">
    <cfRule type="colorScale" priority="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7:N31">
    <cfRule type="colorScale" priority="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4:G38">
    <cfRule type="colorScale" priority="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2:N46">
    <cfRule type="colorScale" priority="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9:G53">
    <cfRule type="colorScale" priority="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3:G67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63:N67">
    <cfRule type="colorScale" priority="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63:U67">
    <cfRule type="colorScale" priority="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63:AC67">
    <cfRule type="colorScale" priority="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69:G74">
    <cfRule type="colorScale" priority="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0:N74">
    <cfRule type="colorScale" priority="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0:U74">
    <cfRule type="colorScale" priority="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0:AC74">
    <cfRule type="colorScale" priority="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77:G80">
    <cfRule type="colorScale" priority="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77:N80">
    <cfRule type="colorScale" priority="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77:U80">
    <cfRule type="colorScale" priority="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77:AC80">
    <cfRule type="colorScale" priority="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83:O87">
    <cfRule type="colorScale" priority="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90:O94">
    <cfRule type="colorScale" priority="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97:G101">
    <cfRule type="colorScale" priority="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49:N153">
    <cfRule type="colorScale" priority="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56:N160">
    <cfRule type="colorScale" priority="2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65:G169">
    <cfRule type="colorScale" priority="2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65:N169">
    <cfRule type="colorScale" priority="2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65:U169">
    <cfRule type="colorScale" priority="3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71:G176">
    <cfRule type="colorScale" priority="3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72:N176">
    <cfRule type="colorScale" priority="3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172:U176">
    <cfRule type="colorScale" priority="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79:R183">
    <cfRule type="colorScale" priority="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93:G197">
    <cfRule type="colorScale" priority="3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193:M197">
    <cfRule type="colorScale" priority="3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3:N194">
    <cfRule type="colorScale" priority="3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193:T197">
    <cfRule type="colorScale" priority="3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96:N197">
    <cfRule type="colorScale" priority="3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27">
    <cfRule type="colorScale" priority="4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U227">
    <cfRule type="colorScale" priority="4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309">
    <cfRule type="colorScale" priority="4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9:J23">
    <cfRule type="colorScale" priority="4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9:O24">
    <cfRule type="colorScale" priority="4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0:P24">
    <cfRule type="colorScale" priority="4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26:P26">
    <cfRule type="colorScale" priority="4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4:N38">
    <cfRule type="colorScale" priority="4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41:P41">
    <cfRule type="colorScale" priority="4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49:N53">
    <cfRule type="colorScale" priority="4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11:N115">
    <cfRule type="colorScale" priority="50">
      <colorScale>
        <cfvo type="min"/>
        <cfvo type="max"/>
        <color rgb="FFFFFFFF"/>
        <color rgb="FF57BB8A"/>
      </colorScale>
    </cfRule>
  </conditionalFormatting>
  <conditionalFormatting sqref="J137:N141">
    <cfRule type="colorScale" priority="51">
      <colorScale>
        <cfvo type="min"/>
        <cfvo type="max"/>
        <color rgb="FFFFFFFF"/>
        <color rgb="FF57BB8A"/>
      </colorScale>
    </cfRule>
  </conditionalFormatting>
  <conditionalFormatting sqref="C156:G160">
    <cfRule type="colorScale" priority="52">
      <colorScale>
        <cfvo type="min"/>
        <cfvo type="max"/>
        <color rgb="FFFFFFFF"/>
        <color rgb="FF57BB8A"/>
      </colorScale>
    </cfRule>
  </conditionalFormatting>
  <conditionalFormatting sqref="J97:N108">
    <cfRule type="colorScale" priority="5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23:N127">
    <cfRule type="colorScale" priority="5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130:J134">
    <cfRule type="colorScale" priority="5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K131:K134">
    <cfRule type="colorScale" priority="5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5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132:L134">
    <cfRule type="colorScale" priority="6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133:M134">
    <cfRule type="colorScale" priority="6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134">
    <cfRule type="colorScale" priority="6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130:N134">
    <cfRule type="cellIs" dxfId="0" priority="63" stopIfTrue="1" operator="equal">
      <formula>-99</formula>
    </cfRule>
  </conditionalFormatting>
  <conditionalFormatting sqref="C179:D185">
    <cfRule type="cellIs" dxfId="0" priority="64" stopIfTrue="1" operator="equal">
      <formula>-99</formula>
    </cfRule>
  </conditionalFormatting>
  <conditionalFormatting sqref="E179:H190">
    <cfRule type="cellIs" dxfId="0" priority="65" stopIfTrue="1" operator="equal">
      <formula>-99</formula>
    </cfRule>
  </conditionalFormatting>
  <conditionalFormatting sqref="I186:I190">
    <cfRule type="cellIs" dxfId="0" priority="66" stopIfTrue="1" operator="equal">
      <formula>-99</formula>
    </cfRule>
  </conditionalFormatting>
  <conditionalFormatting sqref="Y201:AC205">
    <cfRule type="cellIs" dxfId="0" priority="67" stopIfTrue="1" operator="equal">
      <formula>-99</formula>
    </cfRule>
  </conditionalFormatting>
  <conditionalFormatting sqref="Y291:AC295">
    <cfRule type="cellIs" dxfId="0" priority="68" stopIfTrue="1" operator="equal">
      <formula>-99</formula>
    </cfRule>
  </conditionalFormatting>
  <conditionalFormatting sqref="C130:N134">
    <cfRule type="cellIs" dxfId="1" priority="69" stopIfTrue="1" operator="equal">
      <formula>0</formula>
    </cfRule>
  </conditionalFormatting>
  <conditionalFormatting sqref="C179:D185">
    <cfRule type="cellIs" dxfId="1" priority="70" stopIfTrue="1" operator="equal">
      <formula>0</formula>
    </cfRule>
  </conditionalFormatting>
  <conditionalFormatting sqref="E179:H190">
    <cfRule type="cellIs" dxfId="1" priority="71" stopIfTrue="1" operator="equal">
      <formula>0</formula>
    </cfRule>
  </conditionalFormatting>
  <conditionalFormatting sqref="I186:I190">
    <cfRule type="cellIs" dxfId="1" priority="72" stopIfTrue="1" operator="equal">
      <formula>0</formula>
    </cfRule>
  </conditionalFormatting>
  <conditionalFormatting sqref="Y201:AC205">
    <cfRule type="cellIs" dxfId="1" priority="73" stopIfTrue="1" operator="equal">
      <formula>0</formula>
    </cfRule>
  </conditionalFormatting>
  <conditionalFormatting sqref="Y291:AC295">
    <cfRule type="cellIs" dxfId="1" priority="74" stopIfTrue="1" operator="equal">
      <formula>0</formula>
    </cfRule>
  </conditionalFormatting>
  <conditionalFormatting sqref="M186:M187">
    <cfRule type="colorScale" priority="75">
      <colorScale>
        <cfvo type="min"/>
        <cfvo type="max"/>
        <color rgb="FFFFFFFF"/>
        <color rgb="FF57BB8A"/>
      </colorScale>
    </cfRule>
  </conditionalFormatting>
  <conditionalFormatting sqref="M189:M190">
    <cfRule type="colorScale" priority="76">
      <colorScale>
        <cfvo type="min"/>
        <cfvo type="max"/>
        <color rgb="FFFFFFFF"/>
        <color rgb="FF57BB8A"/>
      </colorScale>
    </cfRule>
  </conditionalFormatting>
  <conditionalFormatting sqref="F234:F235">
    <cfRule type="colorScale" priority="77">
      <colorScale>
        <cfvo type="min"/>
        <cfvo type="max"/>
        <color rgb="FFFFFFFF"/>
        <color rgb="FF57BB8A"/>
      </colorScale>
    </cfRule>
  </conditionalFormatting>
  <conditionalFormatting sqref="F237:F238">
    <cfRule type="colorScale" priority="78">
      <colorScale>
        <cfvo type="min"/>
        <cfvo type="max"/>
        <color rgb="FFFFFFFF"/>
        <color rgb="FF57BB8A"/>
      </colorScale>
    </cfRule>
  </conditionalFormatting>
  <conditionalFormatting sqref="K273:L273">
    <cfRule type="colorScale" priority="79">
      <colorScale>
        <cfvo type="min"/>
        <cfvo type="max"/>
        <color rgb="FFFFFFFF"/>
        <color rgb="FF57BB8A"/>
      </colorScale>
    </cfRule>
  </conditionalFormatting>
  <conditionalFormatting sqref="M316:M317">
    <cfRule type="colorScale" priority="80">
      <colorScale>
        <cfvo type="min"/>
        <cfvo type="max"/>
        <color rgb="FFFFFFFF"/>
        <color rgb="FF57BB8A"/>
      </colorScale>
    </cfRule>
  </conditionalFormatting>
  <conditionalFormatting sqref="M319:M320">
    <cfRule type="colorScale" priority="81">
      <colorScale>
        <cfvo type="min"/>
        <cfvo type="max"/>
        <color rgb="FFFFFFFF"/>
        <color rgb="FF57BB8A"/>
      </colorScale>
    </cfRule>
  </conditionalFormatting>
  <conditionalFormatting sqref="M201:T205">
    <cfRule type="colorScale" priority="8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M291:T295">
    <cfRule type="colorScale" priority="8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93">
    <cfRule type="colorScale" priority="8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08:G212">
    <cfRule type="colorScale" priority="8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08:N212">
    <cfRule type="colorScale" priority="8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08:V212">
    <cfRule type="colorScale" priority="8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08:AC212">
    <cfRule type="colorScale" priority="8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14:G218">
    <cfRule type="colorScale" priority="8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14:N218">
    <cfRule type="colorScale" priority="9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14:V218">
    <cfRule type="colorScale" priority="9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14:AC218">
    <cfRule type="colorScale" priority="9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20:G224">
    <cfRule type="colorScale" priority="9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20:N224">
    <cfRule type="colorScale" priority="9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20:V224">
    <cfRule type="colorScale" priority="9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20:AC224">
    <cfRule type="colorScale" priority="9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59:G263">
    <cfRule type="colorScale" priority="9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59:M263">
    <cfRule type="colorScale" priority="9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59:S263">
    <cfRule type="colorScale" priority="9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66:S270">
    <cfRule type="colorScale" priority="10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E273:I287">
    <cfRule type="colorScale" priority="10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L273:P277">
    <cfRule type="colorScale" priority="10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297:N308">
    <cfRule type="colorScale" priority="10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297:O301">
    <cfRule type="colorScale" priority="10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Q297:Q307">
    <cfRule type="colorScale" priority="10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297:V308">
    <cfRule type="colorScale" priority="10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298:D302">
    <cfRule type="colorScale" priority="10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298:F302">
    <cfRule type="colorScale" priority="10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298:I302">
    <cfRule type="colorScale" priority="10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298:AC302">
    <cfRule type="colorScale" priority="11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O303:O307">
    <cfRule type="colorScale" priority="1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04:D308">
    <cfRule type="colorScale" priority="11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F304:F308">
    <cfRule type="colorScale" priority="11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I304:I307">
    <cfRule type="colorScale" priority="11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04:AC308">
    <cfRule type="colorScale" priority="11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323:G327">
    <cfRule type="colorScale" priority="11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J323:N327">
    <cfRule type="colorScale" priority="11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R323:V327">
    <cfRule type="colorScale" priority="118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Y323:AC327">
    <cfRule type="colorScale" priority="119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330:K334">
    <cfRule type="colorScale" priority="120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30:Z334">
    <cfRule type="colorScale" priority="12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27:Z231">
    <cfRule type="colorScale" priority="122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310:V314">
    <cfRule type="colorScale" priority="12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310:Z314">
    <cfRule type="colorScale" priority="12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27:K231">
    <cfRule type="colorScale" priority="125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N309:U313">
    <cfRule type="colorScale" priority="126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V234:Z238">
    <cfRule type="colorScale" priority="127">
      <colorScale>
        <cfvo type="min"/>
        <cfvo type="max"/>
        <color rgb="FFFFFFFF"/>
        <color rgb="FF57BB8A"/>
      </colorScale>
    </cfRule>
  </conditionalFormatting>
  <conditionalFormatting sqref="V317:V321">
    <cfRule type="colorScale" priority="128">
      <colorScale>
        <cfvo type="min"/>
        <cfvo type="max"/>
        <color rgb="FFFFFFFF"/>
        <color rgb="FF57BB8A"/>
      </colorScale>
    </cfRule>
  </conditionalFormatting>
  <conditionalFormatting sqref="X317:Z321">
    <cfRule type="colorScale" priority="129">
      <colorScale>
        <cfvo type="min"/>
        <cfvo type="max"/>
        <color rgb="FFFFFFFF"/>
        <color rgb="FF57BB8A"/>
      </colorScale>
    </cfRule>
  </conditionalFormatting>
  <conditionalFormatting sqref="N316:U320">
    <cfRule type="colorScale" priority="130">
      <colorScale>
        <cfvo type="min"/>
        <cfvo type="max"/>
        <color rgb="FFFFFFFF"/>
        <color rgb="FF57BB8A"/>
      </colorScale>
    </cfRule>
  </conditionalFormatting>
  <conditionalFormatting sqref="N186:R190">
    <cfRule type="colorScale" priority="131">
      <colorScale>
        <cfvo type="min"/>
        <cfvo type="max"/>
        <color rgb="FFFFFFFF"/>
        <color rgb="FF57BB8A"/>
      </colorScale>
    </cfRule>
  </conditionalFormatting>
  <conditionalFormatting sqref="G234:K238">
    <cfRule type="colorScale" priority="132">
      <colorScale>
        <cfvo type="min"/>
        <cfvo type="max"/>
        <color rgb="FFFFFFFF"/>
        <color rgb="FF57BB8A"/>
      </colorScale>
    </cfRule>
  </conditionalFormatting>
  <conditionalFormatting sqref="V241:Z245">
    <cfRule type="colorScale" priority="133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G241:K245">
    <cfRule type="colorScale" priority="134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